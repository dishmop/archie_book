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diarmidcampbell/Desktop/Archies book project/"/>
    </mc:Choice>
  </mc:AlternateContent>
  <xr:revisionPtr revIDLastSave="0" documentId="13_ncr:1_{18F2E44B-C055-274D-812E-A5DD926FEC50}" xr6:coauthVersionLast="47" xr6:coauthVersionMax="47" xr10:uidLastSave="{00000000-0000-0000-0000-000000000000}"/>
  <bookViews>
    <workbookView xWindow="38760" yWindow="-3140" windowWidth="33620" windowHeight="17640" xr2:uid="{00000000-000D-0000-FFFF-FFFF00000000}"/>
  </bookViews>
  <sheets>
    <sheet name="Image Submission" sheetId="1" r:id="rId1"/>
    <sheet name="Summary" sheetId="2" r:id="rId2"/>
    <sheet name="co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</calcChain>
</file>

<file path=xl/sharedStrings.xml><?xml version="1.0" encoding="utf-8"?>
<sst xmlns="http://schemas.openxmlformats.org/spreadsheetml/2006/main" count="977" uniqueCount="486">
  <si>
    <t>filename</t>
  </si>
  <si>
    <t>chapter</t>
  </si>
  <si>
    <t>figure</t>
  </si>
  <si>
    <t>source</t>
  </si>
  <si>
    <t>copyright_status</t>
  </si>
  <si>
    <t>notes</t>
  </si>
  <si>
    <t>fig_01_01.jpg</t>
  </si>
  <si>
    <t>Picryl (Public Domain)</t>
  </si>
  <si>
    <t>Green</t>
  </si>
  <si>
    <t>SOURCE: https://picryl.com/media/hydraulic-capstan-c-and-a-musker-ltd-1901-ef69b9</t>
  </si>
  <si>
    <t>fig_01_02.svg</t>
  </si>
  <si>
    <t>Self-created</t>
  </si>
  <si>
    <t>fig_01_03.svg</t>
  </si>
  <si>
    <t>fig_01_04.svg</t>
  </si>
  <si>
    <t>fig_01_05a.svg</t>
  </si>
  <si>
    <t>5a</t>
  </si>
  <si>
    <t>fig_01_05b.svg</t>
  </si>
  <si>
    <t>5b</t>
  </si>
  <si>
    <t>fig_01_06a.svg</t>
  </si>
  <si>
    <t>6a</t>
  </si>
  <si>
    <t>fig_01_06b.svg</t>
  </si>
  <si>
    <t>6b</t>
  </si>
  <si>
    <t>fig_01_07.svg</t>
  </si>
  <si>
    <t>fig_01_08.svg</t>
  </si>
  <si>
    <t>fig_01_09a.svg</t>
  </si>
  <si>
    <t>9a</t>
  </si>
  <si>
    <t>fig_01_09b.svg</t>
  </si>
  <si>
    <t>9b</t>
  </si>
  <si>
    <t>fig_01_10a.png</t>
  </si>
  <si>
    <t>10a</t>
  </si>
  <si>
    <t>fig_01_10b.png</t>
  </si>
  <si>
    <t>10b</t>
  </si>
  <si>
    <t>fig_01_11.svg</t>
  </si>
  <si>
    <t>Mixed origin</t>
  </si>
  <si>
    <t>Gears from Shutterstock - SOURCE: https://www.shutterstock.com/image-illustration/planetary-gears-on-white-background-epicyclic-2232221117 - License purchased</t>
  </si>
  <si>
    <t>fig_01_12.svg</t>
  </si>
  <si>
    <t>fig_01_13.svg</t>
  </si>
  <si>
    <t>Composite: bicycle image from illustoon.com (https://illustoon.com/?id=7237) - royalty-free, commercial use permitted, editing allowed. Combined with self-drawn elements. CLEARED.</t>
  </si>
  <si>
    <t>fig_01_14a.svg</t>
  </si>
  <si>
    <t>14a</t>
  </si>
  <si>
    <t>fig_01_14b.svg</t>
  </si>
  <si>
    <t>14b</t>
  </si>
  <si>
    <t>fig_01_14c.svg</t>
  </si>
  <si>
    <t>14c</t>
  </si>
  <si>
    <t>fig_01_15a.svg</t>
  </si>
  <si>
    <t>15a</t>
  </si>
  <si>
    <t>fig_01_15b.svg</t>
  </si>
  <si>
    <t>15b</t>
  </si>
  <si>
    <t>fig_02_01a.jpg</t>
  </si>
  <si>
    <t>1a</t>
  </si>
  <si>
    <t>zmescience.com / RS Online</t>
  </si>
  <si>
    <t>Red</t>
  </si>
  <si>
    <t>SOURCE: https://www.zmescience.com/future/internet-backbone-undersea-cables/</t>
  </si>
  <si>
    <t>fig_02_01b.png</t>
  </si>
  <si>
    <t>1b</t>
  </si>
  <si>
    <t>SOURCE: https://uk.rs-online.com/web/p/twisted-pair-multicore-data-cable/8124693</t>
  </si>
  <si>
    <t>fig_02_02.jpg</t>
  </si>
  <si>
    <t>ICE Image Library</t>
  </si>
  <si>
    <t>fig_02_03.svg</t>
  </si>
  <si>
    <t>fig_02_04.png</t>
  </si>
  <si>
    <t>fig_02_05.jpg</t>
  </si>
  <si>
    <t>1922 Scientific American</t>
  </si>
  <si>
    <t>SOURCE: https://atlantic-cable.com/Article/SciAm/sa2.jpg - From https://atlantic-cable.com - 1922 Scientific American - may be public domain due to age</t>
  </si>
  <si>
    <t>fig_02_06.png</t>
  </si>
  <si>
    <t>fig_02_07.svg</t>
  </si>
  <si>
    <t>fig_02_08.png</t>
  </si>
  <si>
    <t>fig_02_09a.jpg</t>
  </si>
  <si>
    <t>Wikimedia Commons - Public Domain</t>
  </si>
  <si>
    <t>fig_02_09b.png</t>
  </si>
  <si>
    <t>fig_02_09c.png</t>
  </si>
  <si>
    <t>9c</t>
  </si>
  <si>
    <t>fig_03_01a.jpg</t>
  </si>
  <si>
    <t>landinginnormandy.blogspot.com</t>
  </si>
  <si>
    <t>SOURCE: https://landinginnormandy.blogspot.com/2013/02/fishing-on-foot-in-france.html</t>
  </si>
  <si>
    <t>fig_03_01b.jpg</t>
  </si>
  <si>
    <t>ATTRIBUTION: By MIckStephenson at English Wikipedia - Public Domain - https://commons.wikimedia.org/w/index.php?curid=2263487</t>
  </si>
  <si>
    <t>fig_03_02.png</t>
  </si>
  <si>
    <t>xkcd</t>
  </si>
  <si>
    <t>SOURCE: https://xkcd.com/123/ - From https://xkcd.com/123/ - xkcd is CC BY-NC 2.5 - needs attribution; no commercial use</t>
  </si>
  <si>
    <t>fig_03_03.svg</t>
  </si>
  <si>
    <t>fig_03_04.svg</t>
  </si>
  <si>
    <t>fig_03_05.svg</t>
  </si>
  <si>
    <t>fig_03_06.svg</t>
  </si>
  <si>
    <t>fig_03_07.svg</t>
  </si>
  <si>
    <t>fig_03_08.svg</t>
  </si>
  <si>
    <t>fig_03_09a.svg</t>
  </si>
  <si>
    <t>fig_03_09b.svg</t>
  </si>
  <si>
    <t>fig_03_09c.svg</t>
  </si>
  <si>
    <t>fig_03_10.png</t>
  </si>
  <si>
    <t>fig_04_01.jpg</t>
  </si>
  <si>
    <t>BBC One Show screenshot</t>
  </si>
  <si>
    <t>Screenshot from The One Show 7pm 4 April 2014 - https://www3.eng.cam.ac.uk/~hemh1/tv.htm#slinkies</t>
  </si>
  <si>
    <t>fig_04_02.jpg</t>
  </si>
  <si>
    <t>opencambridge.cam.ac.uk</t>
  </si>
  <si>
    <t>SOURCE: https://www.opencambridge.cam.ac.uk/events/wren-library</t>
  </si>
  <si>
    <t>fig_04_03.jpg</t>
  </si>
  <si>
    <t>Wikimedia Commons - CC BY 2.0</t>
  </si>
  <si>
    <t>ATTRIBUTION: By Deglr6328 at English Wikipedia (via flickr user jurvetson); CC BY 2.0; https://commons.wikimedia.org/w/index.php?curid=1511764</t>
  </si>
  <si>
    <t>fig_04_04.jpg</t>
  </si>
  <si>
    <t>Wikimedia Commons - CC BY 3.0</t>
  </si>
  <si>
    <t>ATTRIBUTION: By 鳴神響一 (Kyoichi Narukami) - Own work; CC BY 3.0; https://commons.wikimedia.org/w/index.php?curid=17914256</t>
  </si>
  <si>
    <t>fig_04_05.jpg</t>
  </si>
  <si>
    <t>NASA - CC BY 2.0</t>
  </si>
  <si>
    <t>ATTRIBUTION: By NASA Earth Observatory - Crepuscular Rays India; CC BY 2.0; https://commons.wikimedia.org/w/index.php?curid=20106950</t>
  </si>
  <si>
    <t>fig_04_06.jpg</t>
  </si>
  <si>
    <t>Wikimedia Commons - CC BY-SA 3.0</t>
  </si>
  <si>
    <t>ATTRIBUTION: By Wojtow - Own work; CC BY-SA 3.0; https://commons.wikimedia.org/w/index.php?curid=15903390</t>
  </si>
  <si>
    <t>fig_04_07.jpeg</t>
  </si>
  <si>
    <t>ATTRIBUTION: By Jraytram at en.wikipedia; CC BY-SA 3.0; via Wikimedia Commons</t>
  </si>
  <si>
    <t>fig_04_08a.svg</t>
  </si>
  <si>
    <t>8a</t>
  </si>
  <si>
    <t>fig_04_08b.png</t>
  </si>
  <si>
    <t>8b</t>
  </si>
  <si>
    <t>neliti.com publication</t>
  </si>
  <si>
    <t>SOURCE: https://media.neliti.com/media/publications/119624-ID-estimasi-citra-polarisasi-langit.pdf - From neliti.com PDF - copyright unclear</t>
  </si>
  <si>
    <t>fig_04_11.png</t>
  </si>
  <si>
    <t>Original manuscript</t>
  </si>
  <si>
    <t>fig_04_12.png</t>
  </si>
  <si>
    <t>fig_04_13.png</t>
  </si>
  <si>
    <t>fig_04_14.png</t>
  </si>
  <si>
    <t>fig_05_01a.jpeg</t>
  </si>
  <si>
    <t>Web</t>
  </si>
  <si>
    <t>SOURCE: https://www.emirates.com/media-centre/emirates-to-receive-final-a380-in-november/ - From Emirates media centre - likely copyrighted</t>
  </si>
  <si>
    <t>fig_05_01b.jpeg</t>
  </si>
  <si>
    <t>SOURCE: https://www.facebook.com/photo/?fbid=10152531480905695&amp;set=p.10152531480905695 - From Facebook - likely copyrighted</t>
  </si>
  <si>
    <t>fig_05_02a.svg</t>
  </si>
  <si>
    <t>2a</t>
  </si>
  <si>
    <t>fig_05_02b.svg</t>
  </si>
  <si>
    <t>2b</t>
  </si>
  <si>
    <t>fig_05_03a.svg</t>
  </si>
  <si>
    <t>3a</t>
  </si>
  <si>
    <t>fig_05_03b.svg</t>
  </si>
  <si>
    <t>3b</t>
  </si>
  <si>
    <t>fig_05_04.png</t>
  </si>
  <si>
    <t>Flow diagram from unknown manuscript source - origin needs to be identified or image redrawn.</t>
  </si>
  <si>
    <t>fig_05_05.svg</t>
  </si>
  <si>
    <t>Flow lines from unknown manuscript source - origin needs to be identified or image redrawn.</t>
  </si>
  <si>
    <t>fig_05_06a.svg</t>
  </si>
  <si>
    <t>fig_05_06b.svg</t>
  </si>
  <si>
    <t>From unknown manuscript source - origin needs to be identified or image redrawn.</t>
  </si>
  <si>
    <t>fig_05_06c.svg</t>
  </si>
  <si>
    <t>6c</t>
  </si>
  <si>
    <t>fig_05_07a.png</t>
  </si>
  <si>
    <t>7a</t>
  </si>
  <si>
    <t>fig_05_07b.png</t>
  </si>
  <si>
    <t>7b</t>
  </si>
  <si>
    <t>fig_05_07c.png</t>
  </si>
  <si>
    <t>7c</t>
  </si>
  <si>
    <t>fig_05_08a.png</t>
  </si>
  <si>
    <t>fig_05_08b.png</t>
  </si>
  <si>
    <t>fig_05_09.png</t>
  </si>
  <si>
    <t>fig_05_10a.svg</t>
  </si>
  <si>
    <t>fig_05_10b.svg</t>
  </si>
  <si>
    <t>fig_05_10c.svg</t>
  </si>
  <si>
    <t>10c</t>
  </si>
  <si>
    <t>fig_05_11a.svg</t>
  </si>
  <si>
    <t>11a</t>
  </si>
  <si>
    <t>fig_05_11b.svg</t>
  </si>
  <si>
    <t>11b</t>
  </si>
  <si>
    <t>fig_05_11c.svg</t>
  </si>
  <si>
    <t>11c</t>
  </si>
  <si>
    <t>fig_05_12.png</t>
  </si>
  <si>
    <t>The Guardian / Medium</t>
  </si>
  <si>
    <t>SOURCE: https://www.theguardian.com/culture/2009/may/06/radio-head-zoe-williams - From https://www.theguardian.com - copyrighted</t>
  </si>
  <si>
    <t>SOURCE: https://medium.com/@pslcricketmaza/where-to-place-wi-fi-router-for-best-internet-speed-9d784e5e3377 - From Medium blog - copyright unclear</t>
  </si>
  <si>
    <t>fig_06_02.svg</t>
  </si>
  <si>
    <t>Amber</t>
  </si>
  <si>
    <t>ATTRIBUTION: By DMGualtieriThis (original) / Chetvorno (modified); CC BY-SA 3.0; https://commons.wikimedia.org/w/index.php?curid=65941520</t>
  </si>
  <si>
    <t>fig_06_03a.png</t>
  </si>
  <si>
    <t>leedeforest.org</t>
  </si>
  <si>
    <t>Images from https://www.leedeforest.org/The_Audion.html - need to verify copyright/permission</t>
  </si>
  <si>
    <t>fig_06_03b.png</t>
  </si>
  <si>
    <t>fig_06_03c.png</t>
  </si>
  <si>
    <t>3c</t>
  </si>
  <si>
    <t>fig_06_04a.jpg</t>
  </si>
  <si>
    <t>4a</t>
  </si>
  <si>
    <t>Wikimedia Commons - CC BY-SA 4.0</t>
  </si>
  <si>
    <t>fig_06_04b.png</t>
  </si>
  <si>
    <t>4b</t>
  </si>
  <si>
    <t>fig_06_05a.svg</t>
  </si>
  <si>
    <t>fig_06_05b.svg</t>
  </si>
  <si>
    <t>fig_06_06.svg</t>
  </si>
  <si>
    <t>fig_07_01a.png</t>
  </si>
  <si>
    <t>fig_07_01b.png</t>
  </si>
  <si>
    <t>fig_07_02.svg</t>
  </si>
  <si>
    <t>fig_07_03.png</t>
  </si>
  <si>
    <t>chegg.com</t>
  </si>
  <si>
    <t>From https://www.chegg.com/homework-help/questions-and-answers/4-following-plot-shows-vapor-pressure-selected-elements-function-temperature--elements-lis-q45173902 - possible copyright issue. Need permission or replacement.</t>
  </si>
  <si>
    <t>fig_07_04a.svg</t>
  </si>
  <si>
    <t>fig_07_04b.svg</t>
  </si>
  <si>
    <t>fig_07_05.png</t>
  </si>
  <si>
    <t>fig_08_01.jpg</t>
  </si>
  <si>
    <t>retro-gps.info</t>
  </si>
  <si>
    <t>From http://retro-gps.info/files/garmin-gps-38.jpg - possible copyright issue. Hugh has one - could take own photo.</t>
  </si>
  <si>
    <t>fig_08_02.png</t>
  </si>
  <si>
    <t>Earth image: NASA Blue Marble (Public Domain) - OK, but satellite images may need replacing or source identified. | SOURCE: https://www.nasa.gov/multimedia/imagegallery/image_feature_329.html - NASA Blue Marble - public domain</t>
  </si>
  <si>
    <t>fig_08_03.svg</t>
  </si>
  <si>
    <t>fig_08_04.jpeg</t>
  </si>
  <si>
    <t>fig_09_01a.jpg</t>
  </si>
  <si>
    <t>Cambridge Engineering (hemh1)</t>
  </si>
  <si>
    <t>SOURCE: https://www3.eng.cam.ac.uk/~hemh1/tv.htm - may need permission</t>
  </si>
  <si>
    <t>fig_09_01b.jpg</t>
  </si>
  <si>
    <t>ATTRIBUTION: By Flying Officer Jerry Fray RAF; Public Domain; SOURCE: https://en.wikipedia.org/wiki/M%C3%B6hne_Reservoir#/media/File:Mohne_Dam_Breached.jpg</t>
  </si>
  <si>
    <t>fig_09_02.svg</t>
  </si>
  <si>
    <t>fig_09_03a.svg</t>
  </si>
  <si>
    <t>fig_09_03b.svg</t>
  </si>
  <si>
    <t>fig_09_03c.svg</t>
  </si>
  <si>
    <t>fig_09_04a.png</t>
  </si>
  <si>
    <t>fig_09_04b.png</t>
  </si>
  <si>
    <t>fig_09_05a.svg</t>
  </si>
  <si>
    <t>studentpilotguide.co.uk</t>
  </si>
  <si>
    <t>SOURCE: https://studentpilotguide.co.uk/what-is-a-pitot - copyright unclear</t>
  </si>
  <si>
    <t>fig_09_06a.svg</t>
  </si>
  <si>
    <t>fig_09_06b.svg</t>
  </si>
  <si>
    <t>fig_09_07a.jpg</t>
  </si>
  <si>
    <t>fig_09_07b.jpg</t>
  </si>
  <si>
    <t>fig_09_07c.jpg</t>
  </si>
  <si>
    <t>fig_09_07d.jpg</t>
  </si>
  <si>
    <t>7d</t>
  </si>
  <si>
    <t>arxiv.org paper</t>
  </si>
  <si>
    <t>SOURCE: https://arxiv.org/PS_cache/arxiv/pdf/0910/0910.3306v1.pdf | Teapot image from arxiv paper 0910.3306 (Physical Review Letters). arXiv license does not grant commercial reuse rights - need author/publisher permission or replace image.</t>
  </si>
  <si>
    <t>fig_09_08.svg</t>
  </si>
  <si>
    <t>ATTRIBUTION: By Johannes Rössel - Own work; CC BY 3.0; SOURCE: https://commons.wikimedia.org/w/index.php?curid=5558906</t>
  </si>
  <si>
    <t>fig_09_09a.jpg</t>
  </si>
  <si>
    <t>ATTRIBUTION: By Unknown author - State Library of New South Wales 388/Box PXA 4359; Public Domain; https://commons.wikimedia.org/w/index.php?curid=96605253</t>
  </si>
  <si>
    <t>BBC News</t>
  </si>
  <si>
    <t>SOURCE: https://www.bbc.co.uk/news/uk-england-leicestershire-68246524 - copyrighted</t>
  </si>
  <si>
    <t>fig_09_10.jpg</t>
  </si>
  <si>
    <t>Archie (personal photo?)</t>
  </si>
  <si>
    <t>Believed to be Archie's personal photo - needs confirmation</t>
  </si>
  <si>
    <t>fig_09_11a.svg</t>
  </si>
  <si>
    <t>Shutterstock</t>
  </si>
  <si>
    <t>SOURCE: https://www.shutterstock.com/image-vector/line-historic-log-heater-hearth-object-1496593727 - License purchased</t>
  </si>
  <si>
    <t>fig_09_11b.svg</t>
  </si>
  <si>
    <t>fig_09_12a.svg</t>
  </si>
  <si>
    <t>12a</t>
  </si>
  <si>
    <t>fig_09_12b.svg</t>
  </si>
  <si>
    <t>12b</t>
  </si>
  <si>
    <t>fig_09_13a.jpg</t>
  </si>
  <si>
    <t>13a</t>
  </si>
  <si>
    <t>royalscotcrystal.com</t>
  </si>
  <si>
    <t>From https://www.royalscotcrystal.com - copyright issues. Need permission or replacement photo.</t>
  </si>
  <si>
    <t>fig_09_13b.png</t>
  </si>
  <si>
    <t>13b</t>
  </si>
  <si>
    <t>fig_09_13c.png</t>
  </si>
  <si>
    <t>13c</t>
  </si>
  <si>
    <t>fig_09_14a.png</t>
  </si>
  <si>
    <t>fig_09_14b.svg</t>
  </si>
  <si>
    <t>fig_09_14c.svg</t>
  </si>
  <si>
    <t>fig_09_14d.svg</t>
  </si>
  <si>
    <t>14d</t>
  </si>
  <si>
    <t>fig_09_15.svg</t>
  </si>
  <si>
    <t>fig_09_16a.svg</t>
  </si>
  <si>
    <t>16a</t>
  </si>
  <si>
    <t>Wikimedia Commons - CC BY-SA 2.5</t>
  </si>
  <si>
    <t>ATTRIBUTION: By User:Interiot - Modified from File:Vertrag sevres otoman.svg by Thomas Steiner; CC BY-SA 2.5; https://commons.wikimedia.org/w/index.php?curid=5531109</t>
  </si>
  <si>
    <t>fig_09_16b.png</t>
  </si>
  <si>
    <t>16b</t>
  </si>
  <si>
    <t>fig_09_17.jpg</t>
  </si>
  <si>
    <t>Wikimedia Commons - GFDL 1.2</t>
  </si>
  <si>
    <t>ATTRIBUTION: By Muhammad Mahdi Karim - Shaqadayda; GFDL 1.2; https://commons.wikimedia.org/w/index.php?curid=9084438</t>
  </si>
  <si>
    <t>fig_09_18a.jpg</t>
  </si>
  <si>
    <t>18a</t>
  </si>
  <si>
    <t>Unsplash (Public Domain)</t>
  </si>
  <si>
    <t>SOURCE: https://unsplash.com/photos/body-of-water-between-trees-under-cloudy-sky-rB7-LCa_diU</t>
  </si>
  <si>
    <t>fig_09_18b.png</t>
  </si>
  <si>
    <t>18b</t>
  </si>
  <si>
    <t>fig_09_18c.png</t>
  </si>
  <si>
    <t>18c</t>
  </si>
  <si>
    <t>fig_09_19a.png</t>
  </si>
  <si>
    <t>19a</t>
  </si>
  <si>
    <t>fig_09_19b.png</t>
  </si>
  <si>
    <t>19b</t>
  </si>
  <si>
    <t>fig_09_19c.png</t>
  </si>
  <si>
    <t>19c</t>
  </si>
  <si>
    <t>fig_09_20a.png</t>
  </si>
  <si>
    <t>20a</t>
  </si>
  <si>
    <t>fig_09_20b.png</t>
  </si>
  <si>
    <t>20b</t>
  </si>
  <si>
    <t>fig_10_01.png</t>
  </si>
  <si>
    <t>Imperial College Video Archive</t>
  </si>
  <si>
    <t>SOURCE: https://blogs.imperial.ac.uk/videoarchive/prof-eric-laithwaite-uncut-1983/ - may require permission</t>
  </si>
  <si>
    <t>fig_10_02a.svg</t>
  </si>
  <si>
    <t>fig_10_02b.png</t>
  </si>
  <si>
    <t>fig_10_03.png</t>
  </si>
  <si>
    <t>Met Office (met.ie)</t>
  </si>
  <si>
    <t>SOURCE: https://www.met.ie/climate/climate-of-ireland | LOW RES: 300x225 - very low res and blocky</t>
  </si>
  <si>
    <t>fig_10_04.png</t>
  </si>
  <si>
    <t>YouTube - Matt Parker</t>
  </si>
  <si>
    <t>SOURCE: https://youtu.be/pdMZjssrAlk - Screenshot from YouTube - need permission from Matt Parker - should be able to get permission from Matt Parker</t>
  </si>
  <si>
    <t>fig_10_05a.jpg</t>
  </si>
  <si>
    <t>sciencephoto.com</t>
  </si>
  <si>
    <t>SOURCE: https://www.sciencephoto.com/media/996980/view/leon-foucault-pendulum-experiment-1851 - requires license purchase</t>
  </si>
  <si>
    <t>Earth image from Twinkl (https://www.twinkl.co.uk/parenting-wiki/earth) - likely copyrighted. Need to replace with public domain earth image or get permission.</t>
  </si>
  <si>
    <t>fig_10_06a.png</t>
  </si>
  <si>
    <t>fig_10_06b.svg</t>
  </si>
  <si>
    <t>fig_10_07a.png</t>
  </si>
  <si>
    <t>fig_10_07b.png</t>
  </si>
  <si>
    <t>fig_10_08.png</t>
  </si>
  <si>
    <t>fig_10_09a.png</t>
  </si>
  <si>
    <t>fig_10_09b.png</t>
  </si>
  <si>
    <t>fig_10_10a.png</t>
  </si>
  <si>
    <t>ResearchGate</t>
  </si>
  <si>
    <t>SOURCE: https://www.researchgate.net/figure/Skimming-stones_fig1_301688410 - copyright unclear</t>
  </si>
  <si>
    <t>fig_10_10b.png</t>
  </si>
  <si>
    <t>fig_10_11.png</t>
  </si>
  <si>
    <t>LOW RES: 545x436 - borderline resolution</t>
  </si>
  <si>
    <t>fig_10_12a.png</t>
  </si>
  <si>
    <t>https://sailingissues.com/chart-symbols/idealized-tidal-lunar-bulges75.png</t>
  </si>
  <si>
    <t>Image from sailingissues.com - unknown copyright. Need to identify license, get permission, or replace. | LOW RES: 503x388 - low resolution</t>
  </si>
  <si>
    <t>fig_10_12b.png</t>
  </si>
  <si>
    <t>fig_10_13.png</t>
  </si>
  <si>
    <t>fig_10_14a.jpg</t>
  </si>
  <si>
    <t>https://collection.sciencemuseumgroup.org.uk/objects/co526895/progress-toy-gyroscope-1950-1960</t>
  </si>
  <si>
    <t>Requires permission from Science Museum</t>
  </si>
  <si>
    <t>fig_10_14b.jpg</t>
  </si>
  <si>
    <t>https://www.worthpoint.com/worthopedia/antique-double-circle-gyroscope-made-1900629947</t>
  </si>
  <si>
    <t>Requires permission from Worthpoint</t>
  </si>
  <si>
    <t>fig_10_14c.png</t>
  </si>
  <si>
    <t>fig_10_15a.png</t>
  </si>
  <si>
    <t>https://www3.eng.cam.ac.uk/~hemh1/gyroscopes/videoseven.html</t>
  </si>
  <si>
    <t>CUED - may need permission</t>
  </si>
  <si>
    <t>fig_10_15b.png</t>
  </si>
  <si>
    <t>fig_10_15c.png</t>
  </si>
  <si>
    <t>15c</t>
  </si>
  <si>
    <t>Springer book</t>
  </si>
  <si>
    <t>SOURCE: https://link.springer.com/chapter/10.1007/978-3-030-44787-8_2 - From Springer book page 126 (162 of pdf) - copyrighted; needs permission</t>
  </si>
  <si>
    <t>fig_11_03a.png</t>
  </si>
  <si>
    <t>fig_11_03b.png</t>
  </si>
  <si>
    <t>fig_11_03c.png</t>
  </si>
  <si>
    <t>fig_11_04.jpg</t>
  </si>
  <si>
    <t>Exploratorium</t>
  </si>
  <si>
    <t>SOURCE: https://www.exploratorium.edu/snacks/coupled-resonant-pendulums-2/print - From https://www.exploratorium.edu - needs permission</t>
  </si>
  <si>
    <t>fig_11_05.png</t>
  </si>
  <si>
    <t>https://link.springer.com/chapter/10.1007/978-3-030-44787-8_2</t>
  </si>
  <si>
    <t>From Springer book - copyright permission required OR replace with Hugh's own photo | LOW RES: 320x320</t>
  </si>
  <si>
    <t>fig_12_01.jpg</t>
  </si>
  <si>
    <t>Facebook/British Museum</t>
  </si>
  <si>
    <t>SOURCE: https://www.facebook.com/britishmuseum/posts/-today-is-the-summer-solstice-the-longest-day-of-the-year-in-the-northern-hemisp/10159935484264723/ - From British Museum Facebook - check usage rights</t>
  </si>
  <si>
    <t>fig_12_02.svg</t>
  </si>
  <si>
    <t>Sun icon from Vecteezy (https://www.vecteezy.com/vector-art/65959914). Free license only allows 50 print copies - need Pro license for book or replace with public domain sun icon.</t>
  </si>
  <si>
    <t>fig_12_03.png</t>
  </si>
  <si>
    <t>Twitter/PhysicsAtSussex</t>
  </si>
  <si>
    <t>LOW RES: 680x510 - has University of Sussex branding | SOURCE: https://x.com/PhysicsAtSussex/status/1471522760161644551 - From Sussex Physics Twitter - need permission</t>
  </si>
  <si>
    <t>fig_12_04.svg</t>
  </si>
  <si>
    <t>SOURCE: https://upload.wikimedia.org/wikipedia/commons/d/d0/Equinoxes-solstice-EN.svg - Public domain - Author: Divad 2010</t>
  </si>
  <si>
    <t>fig_12_05.svg</t>
  </si>
  <si>
    <t>ATTRIBUTION: By User:Drini/Zazou (2009); CC BY-SA 3.0; via Wikimedia Commons</t>
  </si>
  <si>
    <t>fig_12_06a.png</t>
  </si>
  <si>
    <t>Mixed origin - https://earthhow.com/earth-tilt/</t>
  </si>
  <si>
    <t>Self-created diagram with embedded earth image from earthhow.com - needs permission or replace with public domain earth image | LOW RES: file may be corrupted (nil dimensions)</t>
  </si>
  <si>
    <t>fig_12_06b.png</t>
  </si>
  <si>
    <t>Earth image from earthhow.com - standard copyright, no permissive license found. Need permission or replace with public domain earth image. | LOW RES: file may be corrupted (nil dimensions)</t>
  </si>
  <si>
    <t>fig_13_01a.jpg</t>
  </si>
  <si>
    <t>https://en.wikipedia.org/wiki/File:Tacoma-narrows-bridge-collapse.jpg</t>
  </si>
  <si>
    <t>Tacoma Narrows Bridge collapse (1940). Courtesy of U.S. Federal Government. Public domain via Wikimedia Commons | LOW RES: 365x300</t>
  </si>
  <si>
    <t>fig_13_01b.png</t>
  </si>
  <si>
    <t>https://admiralcloudberg.medium.com/neither-money-nor-manpower-the-story-of-the-de-havilland-comet-and-the-crash-of-boac-flight-781-36db2a3435ce</t>
  </si>
  <si>
    <t>Diagram by Matthew Tesch from Macarthur Job's 'Air Disaster: Volume 1' - copyright issue; needs permission</t>
  </si>
  <si>
    <t>fig_13_02.svg</t>
  </si>
  <si>
    <t>fig_13_03.svg</t>
  </si>
  <si>
    <t>Unknown origin</t>
  </si>
  <si>
    <t>Graph may have been from internet - need to confirm with Hugh if he created it in MATLAB or if external source.</t>
  </si>
  <si>
    <t>fig_13_04a.svg</t>
  </si>
  <si>
    <t>fig_13_04b.svg</t>
  </si>
  <si>
    <t>fig_13_04c.svg</t>
  </si>
  <si>
    <t>4c</t>
  </si>
  <si>
    <t>fig_13_04d.svg</t>
  </si>
  <si>
    <t>4d</t>
  </si>
  <si>
    <t>fig_13_05.svg</t>
  </si>
  <si>
    <t>fig_13_06.png</t>
  </si>
  <si>
    <t>CUED Preparatory Problems</t>
  </si>
  <si>
    <t>Also found at: https://www.chegg.com/homework-help/questions-and-answers/greatest-instantaneous-acceleration-person-survive-25g-g-acceleration-free-fall-climber-s--q2828660 - Original from CUED; Hugh may be able to get permission | LOW RES: 230x525</t>
  </si>
  <si>
    <t>fig_13_07a.jpg</t>
  </si>
  <si>
    <t>https://en.wikipedia.org/wiki/Space_Shuttle_Challenger_disaster#/media/File:Challenger_explosion.jpg</t>
  </si>
  <si>
    <t>NASA Rogers Commission Report - public domain</t>
  </si>
  <si>
    <t>fig_13_07b.jpg</t>
  </si>
  <si>
    <t>https://upload.wikimedia.org/wikipedia/commons/6/6f/RogersCommission-v1p57.jpg</t>
  </si>
  <si>
    <t>Diagram of Space Shuttle SRB field joint assembly from Rogers Commission Report (NASA 1986) - public domain</t>
  </si>
  <si>
    <t>fig_13_08a.png</t>
  </si>
  <si>
    <t>fig_13_08b.png</t>
  </si>
  <si>
    <t>fig_13_09.jpg</t>
  </si>
  <si>
    <t>ATTRIBUTION: "Eros bending his bow" by Ricardo André Frantz (User:Tetraktys); CC BY-SA 3.0; https://commons.wikimedia.org/wiki/File:Cupido4b.jpg</t>
  </si>
  <si>
    <t>fig_13_10.png</t>
  </si>
  <si>
    <t>arco-vienna.at</t>
  </si>
  <si>
    <t>SOURCE: https://en.arco-vienna.at/archers-paradox.html - From https://en.arco-vienna.at - copyright unclear</t>
  </si>
  <si>
    <t>Status</t>
  </si>
  <si>
    <t>Count</t>
  </si>
  <si>
    <t>Total</t>
  </si>
  <si>
    <t>Hugh Comment</t>
  </si>
  <si>
    <t>ChatGPT?  Internet backbone undersea cables</t>
  </si>
  <si>
    <t>ChatGPT?  16-core Twisted pair internet cable</t>
  </si>
  <si>
    <t>ChatGPT?  The SS Great Eastern</t>
  </si>
  <si>
    <t>ChatGPT?  Atlantic cable</t>
  </si>
  <si>
    <t>ChatGPT?  Fishing on foot in france</t>
  </si>
  <si>
    <t>tricky - xkcd is unique</t>
  </si>
  <si>
    <t>I could ask.  Else we just leave it out?</t>
  </si>
  <si>
    <t>I can take my own photo in the Wren</t>
  </si>
  <si>
    <t>can we redraw this?  The caption in the paper translates as "Matahari berada di dekat zenit, Langit akan terpolarisasi horizontal" = "The sun is near the zenith, the sky will be horizontally polarized"</t>
  </si>
  <si>
    <t>ChatGPT:  image of A380</t>
  </si>
  <si>
    <t>ChatGPT:  front view of A380 taking off</t>
  </si>
  <si>
    <t>These are all from some code run using (I'm guessing)</t>
  </si>
  <si>
    <t>Matlab.  They are not public domain.  But we don't</t>
  </si>
  <si>
    <t>know who generated the images.</t>
  </si>
  <si>
    <t>We could redraw - but could we just claim them as our own?</t>
  </si>
  <si>
    <t>"</t>
  </si>
  <si>
    <t>ChatGPT:  sitting around the wireless</t>
  </si>
  <si>
    <t>ChatGPT:  wireless internet at home</t>
  </si>
  <si>
    <t>Let's ask OUP</t>
  </si>
  <si>
    <t>ChatGPT:  Vapour pressure of selected elements</t>
  </si>
  <si>
    <t>I can take my own photo of my Garmin GPS</t>
  </si>
  <si>
    <t>ChatGPT:  Earth in full view</t>
  </si>
  <si>
    <t>I can find my own photo.  Else ChatGTP:  barnes wallace bouncing bomb</t>
  </si>
  <si>
    <t>as above - these are CUED internal.</t>
  </si>
  <si>
    <t>chatGPT:  pito static tube image</t>
  </si>
  <si>
    <t>chatgpt:  water pouring from a teapot</t>
  </si>
  <si>
    <t>chatGPT:  pouring molten steel from a crucible</t>
  </si>
  <si>
    <t>we can take photo of CUED chimney</t>
  </si>
  <si>
    <t>chatGPT:  perfume sprayer</t>
  </si>
  <si>
    <t>more from CUED - let's own.</t>
  </si>
  <si>
    <t>ChatGPT:  weather map</t>
  </si>
  <si>
    <t>I can ask Matt</t>
  </si>
  <si>
    <t>ChatGPT:  Foucault pendulum in paris</t>
  </si>
  <si>
    <t>ChatGPT:  image of the Earth</t>
  </si>
  <si>
    <t>can we refer to this paper and ask the journal?</t>
  </si>
  <si>
    <t>We can redraw this?</t>
  </si>
  <si>
    <t>ChatGPT:  Water bulging at equator due to tides</t>
  </si>
  <si>
    <t>I have my own gyro and can take photo</t>
  </si>
  <si>
    <t>I can probably reproduce this with my gyro</t>
  </si>
  <si>
    <t>I have this rig - we can photgraph the actual thing</t>
  </si>
  <si>
    <t>surely we can redraw?</t>
  </si>
  <si>
    <t>We have one in the lab - we can take a photo</t>
  </si>
  <si>
    <t>I have a tippetop</t>
  </si>
  <si>
    <t>ChatGPT:  stonehenge at sunrise</t>
  </si>
  <si>
    <t xml:space="preserve">? </t>
  </si>
  <si>
    <t>can we find the original?</t>
  </si>
  <si>
    <t>ChatGPT:  tilted earth</t>
  </si>
  <si>
    <t xml:space="preserve">ChatGPT:  image of comet BOAC flight 781 </t>
  </si>
  <si>
    <t>to discuss</t>
  </si>
  <si>
    <t>Teaching Office to give permission</t>
  </si>
  <si>
    <t>ChatGPT:  Archers paradox</t>
  </si>
  <si>
    <t>DC comments</t>
  </si>
  <si>
    <t>Have obtained permission (£20) - need to send copy of book</t>
  </si>
  <si>
    <t>SOURCE: https://www.ice-imagelibrary.com/image/1084/the-ss-great-eastern-under-way-23-july-1865 - From https://www.ice-imagelibrary.com</t>
  </si>
  <si>
    <t>Costs</t>
  </si>
  <si>
    <t>The SS Great Eastern</t>
  </si>
  <si>
    <t xml:space="preserve">Scientific America subscription </t>
  </si>
  <si>
    <t>Cost GBP</t>
  </si>
  <si>
    <t>cost USD</t>
  </si>
  <si>
    <t>Shutterstock replacement</t>
  </si>
  <si>
    <t>downloaded from Scientific America and is in public domain (see CR note)</t>
  </si>
  <si>
    <t>must say "Thanks to Master and Fellows of Trinity College Cambridge"</t>
  </si>
  <si>
    <t>fig_04_10.png</t>
  </si>
  <si>
    <t>Made HTML version</t>
  </si>
  <si>
    <t>Replaced with Wikipedia By Maarten Visser from Capelle aan den IJssel, Nederland - A6-EDY A380 Emirates 31 jan 2013 jfk, CC BY-SA 2.0, https://commons.wikimedia.org/w/index.php?curid=56233674</t>
  </si>
  <si>
    <t>Removed</t>
  </si>
  <si>
    <t>Claim as own</t>
  </si>
  <si>
    <t>fig_06_01a.jpg</t>
  </si>
  <si>
    <t>fig_06_01b.jpg</t>
  </si>
  <si>
    <t>Replaced in doc</t>
  </si>
  <si>
    <t>Claim as own (https://chatgpt.com/share/6a09d483-8270-8388-b6dc-ea6a31b74e15)</t>
  </si>
  <si>
    <t>Iimage from patent (not sure how I got image)</t>
  </si>
  <si>
    <t>By ScAvenger - Own work, CC BY-SA 4.0, https://commons.wikimedia.org/w/index.php?curid=3093426</t>
  </si>
  <si>
    <t>Shutterstock satelites and recomposited</t>
  </si>
  <si>
    <t>fig_09_05b.jpg</t>
  </si>
  <si>
    <t>redone</t>
  </si>
  <si>
    <t>retaken</t>
  </si>
  <si>
    <t>fig_09_09b.jpg</t>
  </si>
  <si>
    <t>Swapped for wikipedia.
By Furrfu - Own work, CC BY-SA 3.0, https://commons.wikimedia.org/w/index.php?curid=11337810</t>
  </si>
  <si>
    <t>replaced with wikipedia photo
By Rémih - Own work, CC BY-SA 3.0, https://commons.wikimedia.org/w/index.php?curid=19383691</t>
  </si>
  <si>
    <t>fig_10_05b.png</t>
  </si>
  <si>
    <t>Recreated with image from shutterstock</t>
  </si>
  <si>
    <t>leave as is?</t>
  </si>
  <si>
    <t>fig_11_01.jpg</t>
  </si>
  <si>
    <t>Wikipedi
By Oblomov - Own work, CC BY-SA 2.0, https://commons.wikimedia.org/w/index.php?curid=2844203</t>
  </si>
  <si>
    <t>Done own photo</t>
  </si>
  <si>
    <t>need attribution 
This image has been designed using resources from Flaticon.com</t>
  </si>
  <si>
    <t>fig_11_02.svg</t>
  </si>
  <si>
    <t>Recreated with HTML</t>
  </si>
  <si>
    <t>Recreated with iamge of earth from shutterstock</t>
  </si>
  <si>
    <t>Yes</t>
  </si>
  <si>
    <t>Dr Nicolas Bell,  Trinity College library</t>
  </si>
  <si>
    <t>Send copy of book</t>
  </si>
  <si>
    <t>Have emaield illustrator asking for permission (Gday@masthead.au)</t>
  </si>
  <si>
    <t>Redrawn in HTML</t>
  </si>
  <si>
    <t>Image recreated - 
inspired by illutration on https://en.arco-vienna.at/archers-paradox.html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</si>
</sst>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£&quot;#,##0_);[Red]\(&quot;£&quot;#,##0\)"/>
    <numFmt numFmtId="164" formatCode="[$$-409]#,##0.00"/>
    <numFmt numFmtId="165" formatCode="&quot;£&quot;#,##0.00"/>
  </numFmts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BC96F"/>
        <bgColor rgb="FF7BC96F"/>
      </patternFill>
    </fill>
    <fill>
      <patternFill patternType="solid">
        <fgColor rgb="FFFF6B6B"/>
        <bgColor rgb="FFFF6B6B"/>
      </patternFill>
    </fill>
    <fill>
      <patternFill patternType="solid">
        <fgColor rgb="FFFFB347"/>
        <bgColor rgb="FFFFB34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shrinkToFit="1"/>
    </xf>
    <xf numFmtId="0" fontId="0" fillId="0" borderId="0" xfId="0" applyAlignment="1">
      <alignment shrinkToFit="1"/>
    </xf>
    <xf numFmtId="0" fontId="2" fillId="0" borderId="0" xfId="1" applyAlignment="1">
      <alignment shrinkToFit="1"/>
    </xf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6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llection.sciencemuseumgroup.org.uk/objects/co526895/progress-toy-gyroscope-1950-1960" TargetMode="External"/><Relationship Id="rId2" Type="http://schemas.openxmlformats.org/officeDocument/2006/relationships/hyperlink" Target="https://sailingissues.com/chart-symbols/idealized-tidal-lunar-bulges75.png" TargetMode="External"/><Relationship Id="rId1" Type="http://schemas.openxmlformats.org/officeDocument/2006/relationships/hyperlink" Target="https://admiralcloudberg.medium.com/neither-money-nor-manpower-the-story-of-the-de-havilland-comet-and-the-crash-of-boac-flight-781-36db2a3435ce" TargetMode="External"/><Relationship Id="rId5" Type="http://schemas.openxmlformats.org/officeDocument/2006/relationships/hyperlink" Target="https://www.worthpoint.com/worthopedia/antique-double-circle-gyroscope-made-1900629947" TargetMode="External"/><Relationship Id="rId4" Type="http://schemas.openxmlformats.org/officeDocument/2006/relationships/hyperlink" Target="https://www3.eng.cam.ac.uk/~hemh1/gyroscopes/videoseve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7"/>
  <sheetViews>
    <sheetView tabSelected="1" workbookViewId="0">
      <pane ySplit="1" topLeftCell="A156" activePane="bottomLeft" state="frozen"/>
      <selection pane="bottomLeft" activeCell="D175" sqref="D175"/>
    </sheetView>
  </sheetViews>
  <sheetFormatPr baseColWidth="10" defaultColWidth="8.83203125" defaultRowHeight="15"/>
  <cols>
    <col min="1" max="1" width="17" customWidth="1"/>
    <col min="2" max="2" width="9" customWidth="1"/>
    <col min="3" max="3" width="8" customWidth="1"/>
    <col min="4" max="4" width="24" style="7" customWidth="1"/>
    <col min="5" max="5" width="45.1640625" customWidth="1"/>
    <col min="6" max="6" width="18" customWidth="1"/>
    <col min="7" max="7" width="80" style="12" customWidth="1"/>
    <col min="8" max="8" width="34.6640625" customWidth="1"/>
  </cols>
  <sheetData>
    <row r="1" spans="1:8" ht="16">
      <c r="A1" s="1" t="s">
        <v>0</v>
      </c>
      <c r="B1" s="1" t="s">
        <v>1</v>
      </c>
      <c r="C1" s="1" t="s">
        <v>2</v>
      </c>
      <c r="D1" s="6" t="s">
        <v>3</v>
      </c>
      <c r="E1" s="1" t="s">
        <v>389</v>
      </c>
      <c r="F1" s="1" t="s">
        <v>4</v>
      </c>
      <c r="G1" s="11" t="s">
        <v>5</v>
      </c>
      <c r="H1" s="1" t="s">
        <v>441</v>
      </c>
    </row>
    <row r="2" spans="1:8" ht="16">
      <c r="A2" t="s">
        <v>6</v>
      </c>
      <c r="B2">
        <v>1</v>
      </c>
      <c r="C2" s="2">
        <v>1</v>
      </c>
      <c r="D2" s="7" t="s">
        <v>7</v>
      </c>
      <c r="F2" s="3" t="s">
        <v>8</v>
      </c>
      <c r="G2" s="12" t="s">
        <v>9</v>
      </c>
    </row>
    <row r="3" spans="1:8">
      <c r="A3" t="s">
        <v>10</v>
      </c>
      <c r="B3">
        <v>1</v>
      </c>
      <c r="C3" s="2">
        <v>2</v>
      </c>
      <c r="D3" s="7" t="s">
        <v>11</v>
      </c>
      <c r="F3" s="3" t="s">
        <v>8</v>
      </c>
    </row>
    <row r="4" spans="1:8">
      <c r="A4" t="s">
        <v>12</v>
      </c>
      <c r="B4">
        <v>1</v>
      </c>
      <c r="C4" s="2">
        <v>3</v>
      </c>
      <c r="D4" s="7" t="s">
        <v>11</v>
      </c>
      <c r="F4" s="3" t="s">
        <v>8</v>
      </c>
    </row>
    <row r="5" spans="1:8">
      <c r="A5" t="s">
        <v>13</v>
      </c>
      <c r="B5">
        <v>1</v>
      </c>
      <c r="C5" s="2">
        <v>4</v>
      </c>
      <c r="D5" s="7" t="s">
        <v>11</v>
      </c>
      <c r="F5" s="3" t="s">
        <v>8</v>
      </c>
    </row>
    <row r="6" spans="1:8">
      <c r="A6" t="s">
        <v>14</v>
      </c>
      <c r="B6">
        <v>1</v>
      </c>
      <c r="C6" s="2" t="s">
        <v>15</v>
      </c>
      <c r="D6" s="7" t="s">
        <v>11</v>
      </c>
      <c r="F6" s="3" t="s">
        <v>8</v>
      </c>
    </row>
    <row r="7" spans="1:8">
      <c r="A7" t="s">
        <v>16</v>
      </c>
      <c r="B7">
        <v>1</v>
      </c>
      <c r="C7" s="2" t="s">
        <v>17</v>
      </c>
      <c r="D7" s="7" t="s">
        <v>11</v>
      </c>
      <c r="F7" s="3" t="s">
        <v>8</v>
      </c>
    </row>
    <row r="8" spans="1:8">
      <c r="A8" t="s">
        <v>18</v>
      </c>
      <c r="B8">
        <v>1</v>
      </c>
      <c r="C8" s="2" t="s">
        <v>19</v>
      </c>
      <c r="D8" s="7" t="s">
        <v>11</v>
      </c>
      <c r="F8" s="3" t="s">
        <v>8</v>
      </c>
    </row>
    <row r="9" spans="1:8">
      <c r="A9" t="s">
        <v>20</v>
      </c>
      <c r="B9">
        <v>1</v>
      </c>
      <c r="C9" s="2" t="s">
        <v>21</v>
      </c>
      <c r="D9" s="7" t="s">
        <v>11</v>
      </c>
      <c r="F9" s="3" t="s">
        <v>8</v>
      </c>
    </row>
    <row r="10" spans="1:8">
      <c r="A10" t="s">
        <v>22</v>
      </c>
      <c r="B10">
        <v>1</v>
      </c>
      <c r="C10" s="2">
        <v>7</v>
      </c>
      <c r="D10" s="7" t="s">
        <v>11</v>
      </c>
      <c r="F10" s="3" t="s">
        <v>8</v>
      </c>
    </row>
    <row r="11" spans="1:8">
      <c r="A11" t="s">
        <v>23</v>
      </c>
      <c r="B11">
        <v>1</v>
      </c>
      <c r="C11" s="2">
        <v>8</v>
      </c>
      <c r="D11" s="7" t="s">
        <v>11</v>
      </c>
      <c r="F11" s="3" t="s">
        <v>8</v>
      </c>
    </row>
    <row r="12" spans="1:8">
      <c r="A12" t="s">
        <v>24</v>
      </c>
      <c r="B12">
        <v>1</v>
      </c>
      <c r="C12" s="2" t="s">
        <v>25</v>
      </c>
      <c r="D12" s="7" t="s">
        <v>11</v>
      </c>
      <c r="F12" s="3" t="s">
        <v>8</v>
      </c>
    </row>
    <row r="13" spans="1:8">
      <c r="A13" t="s">
        <v>26</v>
      </c>
      <c r="B13">
        <v>1</v>
      </c>
      <c r="C13" s="2" t="s">
        <v>27</v>
      </c>
      <c r="D13" s="7" t="s">
        <v>11</v>
      </c>
      <c r="F13" s="3" t="s">
        <v>8</v>
      </c>
    </row>
    <row r="14" spans="1:8">
      <c r="A14" t="s">
        <v>28</v>
      </c>
      <c r="B14">
        <v>1</v>
      </c>
      <c r="C14" s="2" t="s">
        <v>29</v>
      </c>
      <c r="D14" s="7" t="s">
        <v>11</v>
      </c>
      <c r="F14" s="3" t="s">
        <v>8</v>
      </c>
    </row>
    <row r="15" spans="1:8">
      <c r="A15" t="s">
        <v>30</v>
      </c>
      <c r="B15">
        <v>1</v>
      </c>
      <c r="C15" s="2" t="s">
        <v>31</v>
      </c>
      <c r="D15" s="7" t="s">
        <v>11</v>
      </c>
      <c r="F15" s="3" t="s">
        <v>8</v>
      </c>
    </row>
    <row r="16" spans="1:8" ht="32">
      <c r="A16" t="s">
        <v>32</v>
      </c>
      <c r="B16">
        <v>1</v>
      </c>
      <c r="C16" s="2">
        <v>11</v>
      </c>
      <c r="D16" s="7" t="s">
        <v>33</v>
      </c>
      <c r="F16" s="3" t="s">
        <v>8</v>
      </c>
      <c r="G16" s="12" t="s">
        <v>34</v>
      </c>
    </row>
    <row r="17" spans="1:8">
      <c r="A17" t="s">
        <v>35</v>
      </c>
      <c r="B17">
        <v>1</v>
      </c>
      <c r="C17" s="2">
        <v>12</v>
      </c>
      <c r="D17" s="7" t="s">
        <v>11</v>
      </c>
      <c r="F17" s="3" t="s">
        <v>8</v>
      </c>
    </row>
    <row r="18" spans="1:8" ht="32">
      <c r="A18" t="s">
        <v>36</v>
      </c>
      <c r="B18">
        <v>1</v>
      </c>
      <c r="C18" s="2">
        <v>13</v>
      </c>
      <c r="D18" s="7" t="s">
        <v>33</v>
      </c>
      <c r="F18" s="3" t="s">
        <v>8</v>
      </c>
      <c r="G18" s="12" t="s">
        <v>37</v>
      </c>
    </row>
    <row r="19" spans="1:8">
      <c r="A19" t="s">
        <v>38</v>
      </c>
      <c r="B19">
        <v>1</v>
      </c>
      <c r="C19" s="2" t="s">
        <v>39</v>
      </c>
      <c r="D19" s="7" t="s">
        <v>11</v>
      </c>
      <c r="F19" s="3" t="s">
        <v>8</v>
      </c>
    </row>
    <row r="20" spans="1:8">
      <c r="A20" t="s">
        <v>40</v>
      </c>
      <c r="B20">
        <v>1</v>
      </c>
      <c r="C20" s="2" t="s">
        <v>41</v>
      </c>
      <c r="D20" s="7" t="s">
        <v>11</v>
      </c>
      <c r="F20" s="3" t="s">
        <v>8</v>
      </c>
    </row>
    <row r="21" spans="1:8">
      <c r="A21" t="s">
        <v>42</v>
      </c>
      <c r="B21">
        <v>1</v>
      </c>
      <c r="C21" s="2" t="s">
        <v>43</v>
      </c>
      <c r="D21" s="7" t="s">
        <v>11</v>
      </c>
      <c r="F21" s="3" t="s">
        <v>8</v>
      </c>
    </row>
    <row r="22" spans="1:8">
      <c r="A22" t="s">
        <v>44</v>
      </c>
      <c r="B22">
        <v>1</v>
      </c>
      <c r="C22" s="2" t="s">
        <v>45</v>
      </c>
      <c r="D22" s="7" t="s">
        <v>11</v>
      </c>
      <c r="F22" s="3" t="s">
        <v>8</v>
      </c>
    </row>
    <row r="23" spans="1:8">
      <c r="A23" t="s">
        <v>46</v>
      </c>
      <c r="B23">
        <v>1</v>
      </c>
      <c r="C23" s="2" t="s">
        <v>47</v>
      </c>
      <c r="D23" s="7" t="s">
        <v>11</v>
      </c>
      <c r="F23" s="3" t="s">
        <v>8</v>
      </c>
    </row>
    <row r="24" spans="1:8" ht="16">
      <c r="A24" t="s">
        <v>48</v>
      </c>
      <c r="B24">
        <v>2</v>
      </c>
      <c r="C24" s="2" t="s">
        <v>49</v>
      </c>
      <c r="D24" s="7" t="s">
        <v>50</v>
      </c>
      <c r="E24" t="s">
        <v>390</v>
      </c>
      <c r="F24" s="5" t="s">
        <v>166</v>
      </c>
      <c r="G24" s="12" t="s">
        <v>52</v>
      </c>
      <c r="H24" t="s">
        <v>449</v>
      </c>
    </row>
    <row r="25" spans="1:8" ht="16">
      <c r="A25" t="s">
        <v>53</v>
      </c>
      <c r="B25">
        <v>2</v>
      </c>
      <c r="C25" s="2" t="s">
        <v>54</v>
      </c>
      <c r="D25" s="7" t="s">
        <v>50</v>
      </c>
      <c r="E25" t="s">
        <v>391</v>
      </c>
      <c r="F25" s="5" t="s">
        <v>166</v>
      </c>
      <c r="G25" s="12" t="s">
        <v>55</v>
      </c>
      <c r="H25" t="s">
        <v>449</v>
      </c>
    </row>
    <row r="26" spans="1:8" ht="32">
      <c r="A26" t="s">
        <v>56</v>
      </c>
      <c r="B26">
        <v>2</v>
      </c>
      <c r="C26" s="2">
        <v>2</v>
      </c>
      <c r="D26" s="7" t="s">
        <v>57</v>
      </c>
      <c r="E26" t="s">
        <v>392</v>
      </c>
      <c r="F26" s="5" t="s">
        <v>166</v>
      </c>
      <c r="G26" s="12" t="s">
        <v>443</v>
      </c>
      <c r="H26" t="s">
        <v>442</v>
      </c>
    </row>
    <row r="27" spans="1:8">
      <c r="A27" t="s">
        <v>58</v>
      </c>
      <c r="B27">
        <v>2</v>
      </c>
      <c r="C27" s="2">
        <v>3</v>
      </c>
      <c r="D27" s="7" t="s">
        <v>11</v>
      </c>
      <c r="F27" s="3" t="s">
        <v>8</v>
      </c>
    </row>
    <row r="28" spans="1:8">
      <c r="A28" t="s">
        <v>59</v>
      </c>
      <c r="B28">
        <v>2</v>
      </c>
      <c r="C28" s="2">
        <v>4</v>
      </c>
      <c r="D28" s="7" t="s">
        <v>11</v>
      </c>
      <c r="F28" s="3" t="s">
        <v>8</v>
      </c>
    </row>
    <row r="29" spans="1:8" ht="32">
      <c r="A29" t="s">
        <v>60</v>
      </c>
      <c r="B29">
        <v>2</v>
      </c>
      <c r="C29" s="2">
        <v>5</v>
      </c>
      <c r="D29" s="7" t="s">
        <v>61</v>
      </c>
      <c r="E29" t="s">
        <v>393</v>
      </c>
      <c r="F29" s="5" t="s">
        <v>166</v>
      </c>
      <c r="G29" s="12" t="s">
        <v>62</v>
      </c>
      <c r="H29" t="s">
        <v>450</v>
      </c>
    </row>
    <row r="30" spans="1:8">
      <c r="A30" t="s">
        <v>63</v>
      </c>
      <c r="B30">
        <v>2</v>
      </c>
      <c r="C30" s="2">
        <v>6</v>
      </c>
      <c r="D30" s="7" t="s">
        <v>11</v>
      </c>
      <c r="F30" s="3" t="s">
        <v>8</v>
      </c>
    </row>
    <row r="31" spans="1:8">
      <c r="A31" t="s">
        <v>64</v>
      </c>
      <c r="B31">
        <v>2</v>
      </c>
      <c r="C31" s="2">
        <v>7</v>
      </c>
      <c r="D31" s="7" t="s">
        <v>11</v>
      </c>
      <c r="F31" s="3" t="s">
        <v>8</v>
      </c>
    </row>
    <row r="32" spans="1:8">
      <c r="A32" t="s">
        <v>65</v>
      </c>
      <c r="B32">
        <v>2</v>
      </c>
      <c r="C32" s="2">
        <v>8</v>
      </c>
      <c r="D32" s="7" t="s">
        <v>33</v>
      </c>
      <c r="F32" s="3" t="s">
        <v>8</v>
      </c>
    </row>
    <row r="33" spans="1:8">
      <c r="A33" t="s">
        <v>66</v>
      </c>
      <c r="B33">
        <v>2</v>
      </c>
      <c r="C33" s="2" t="s">
        <v>25</v>
      </c>
      <c r="D33" s="7" t="s">
        <v>67</v>
      </c>
      <c r="F33" s="3" t="s">
        <v>8</v>
      </c>
    </row>
    <row r="34" spans="1:8">
      <c r="A34" t="s">
        <v>68</v>
      </c>
      <c r="B34">
        <v>2</v>
      </c>
      <c r="C34" s="2" t="s">
        <v>27</v>
      </c>
      <c r="D34" s="7" t="s">
        <v>11</v>
      </c>
      <c r="F34" s="3" t="s">
        <v>8</v>
      </c>
    </row>
    <row r="35" spans="1:8">
      <c r="A35" t="s">
        <v>69</v>
      </c>
      <c r="B35">
        <v>2</v>
      </c>
      <c r="C35" s="2" t="s">
        <v>70</v>
      </c>
      <c r="D35" s="7" t="s">
        <v>11</v>
      </c>
      <c r="F35" s="3" t="s">
        <v>8</v>
      </c>
    </row>
    <row r="36" spans="1:8" ht="16">
      <c r="A36" t="s">
        <v>71</v>
      </c>
      <c r="B36">
        <v>3</v>
      </c>
      <c r="C36" s="2" t="s">
        <v>49</v>
      </c>
      <c r="D36" s="7" t="s">
        <v>72</v>
      </c>
      <c r="E36" t="s">
        <v>394</v>
      </c>
      <c r="F36" s="5" t="s">
        <v>166</v>
      </c>
      <c r="G36" s="12" t="s">
        <v>73</v>
      </c>
      <c r="H36" t="s">
        <v>449</v>
      </c>
    </row>
    <row r="37" spans="1:8" ht="32">
      <c r="A37" t="s">
        <v>74</v>
      </c>
      <c r="B37">
        <v>3</v>
      </c>
      <c r="C37" s="2" t="s">
        <v>54</v>
      </c>
      <c r="D37" s="7" t="s">
        <v>67</v>
      </c>
      <c r="F37" s="3" t="s">
        <v>8</v>
      </c>
      <c r="G37" s="12" t="s">
        <v>75</v>
      </c>
    </row>
    <row r="38" spans="1:8" ht="32">
      <c r="A38" t="s">
        <v>76</v>
      </c>
      <c r="B38">
        <v>3</v>
      </c>
      <c r="C38" s="2">
        <v>2</v>
      </c>
      <c r="D38" s="7" t="s">
        <v>77</v>
      </c>
      <c r="E38" t="s">
        <v>395</v>
      </c>
      <c r="F38" s="4" t="s">
        <v>51</v>
      </c>
      <c r="G38" s="12" t="s">
        <v>78</v>
      </c>
    </row>
    <row r="39" spans="1:8">
      <c r="A39" t="s">
        <v>79</v>
      </c>
      <c r="B39">
        <v>3</v>
      </c>
      <c r="C39" s="2">
        <v>3</v>
      </c>
      <c r="D39" s="7" t="s">
        <v>11</v>
      </c>
      <c r="F39" s="3" t="s">
        <v>8</v>
      </c>
    </row>
    <row r="40" spans="1:8">
      <c r="A40" t="s">
        <v>80</v>
      </c>
      <c r="B40">
        <v>3</v>
      </c>
      <c r="C40" s="2">
        <v>4</v>
      </c>
      <c r="D40" s="7" t="s">
        <v>11</v>
      </c>
      <c r="F40" s="3" t="s">
        <v>8</v>
      </c>
    </row>
    <row r="41" spans="1:8">
      <c r="A41" t="s">
        <v>81</v>
      </c>
      <c r="B41">
        <v>3</v>
      </c>
      <c r="C41" s="2">
        <v>5</v>
      </c>
      <c r="D41" s="7" t="s">
        <v>11</v>
      </c>
      <c r="F41" s="3" t="s">
        <v>8</v>
      </c>
    </row>
    <row r="42" spans="1:8">
      <c r="A42" t="s">
        <v>82</v>
      </c>
      <c r="B42">
        <v>3</v>
      </c>
      <c r="C42" s="2">
        <v>6</v>
      </c>
      <c r="D42" s="7" t="s">
        <v>11</v>
      </c>
      <c r="F42" s="3" t="s">
        <v>8</v>
      </c>
    </row>
    <row r="43" spans="1:8">
      <c r="A43" t="s">
        <v>83</v>
      </c>
      <c r="B43">
        <v>3</v>
      </c>
      <c r="C43" s="2">
        <v>7</v>
      </c>
      <c r="D43" s="7" t="s">
        <v>11</v>
      </c>
      <c r="F43" s="3" t="s">
        <v>8</v>
      </c>
    </row>
    <row r="44" spans="1:8">
      <c r="A44" t="s">
        <v>84</v>
      </c>
      <c r="B44">
        <v>3</v>
      </c>
      <c r="C44" s="2">
        <v>8</v>
      </c>
      <c r="D44" s="7" t="s">
        <v>11</v>
      </c>
      <c r="F44" s="3" t="s">
        <v>8</v>
      </c>
    </row>
    <row r="45" spans="1:8">
      <c r="A45" t="s">
        <v>85</v>
      </c>
      <c r="B45">
        <v>3</v>
      </c>
      <c r="C45" s="2" t="s">
        <v>25</v>
      </c>
      <c r="D45" s="7" t="s">
        <v>11</v>
      </c>
      <c r="F45" s="3" t="s">
        <v>8</v>
      </c>
    </row>
    <row r="46" spans="1:8">
      <c r="A46" t="s">
        <v>86</v>
      </c>
      <c r="B46">
        <v>3</v>
      </c>
      <c r="C46" s="2" t="s">
        <v>27</v>
      </c>
      <c r="D46" s="7" t="s">
        <v>11</v>
      </c>
      <c r="F46" s="3" t="s">
        <v>8</v>
      </c>
    </row>
    <row r="47" spans="1:8">
      <c r="A47" t="s">
        <v>87</v>
      </c>
      <c r="B47">
        <v>3</v>
      </c>
      <c r="C47" s="2" t="s">
        <v>70</v>
      </c>
      <c r="D47" s="7" t="s">
        <v>11</v>
      </c>
      <c r="F47" s="3" t="s">
        <v>8</v>
      </c>
    </row>
    <row r="48" spans="1:8">
      <c r="A48" t="s">
        <v>88</v>
      </c>
      <c r="B48">
        <v>3</v>
      </c>
      <c r="C48" s="2">
        <v>10</v>
      </c>
      <c r="D48" s="7" t="s">
        <v>11</v>
      </c>
      <c r="F48" s="3" t="s">
        <v>8</v>
      </c>
    </row>
    <row r="49" spans="1:8" ht="32">
      <c r="A49" t="s">
        <v>89</v>
      </c>
      <c r="B49">
        <v>4</v>
      </c>
      <c r="C49" s="2">
        <v>1</v>
      </c>
      <c r="D49" s="7" t="s">
        <v>90</v>
      </c>
      <c r="E49" t="s">
        <v>396</v>
      </c>
      <c r="F49" s="5" t="s">
        <v>166</v>
      </c>
      <c r="G49" s="12" t="s">
        <v>91</v>
      </c>
      <c r="H49" t="s">
        <v>449</v>
      </c>
    </row>
    <row r="50" spans="1:8" ht="16">
      <c r="A50" t="s">
        <v>92</v>
      </c>
      <c r="B50">
        <v>4</v>
      </c>
      <c r="C50" s="2">
        <v>2</v>
      </c>
      <c r="D50" s="7" t="s">
        <v>93</v>
      </c>
      <c r="E50" t="s">
        <v>397</v>
      </c>
      <c r="F50" s="5" t="s">
        <v>166</v>
      </c>
      <c r="G50" s="12" t="s">
        <v>94</v>
      </c>
      <c r="H50" t="s">
        <v>451</v>
      </c>
    </row>
    <row r="51" spans="1:8" ht="32">
      <c r="A51" t="s">
        <v>95</v>
      </c>
      <c r="B51">
        <v>4</v>
      </c>
      <c r="C51" s="2">
        <v>3</v>
      </c>
      <c r="D51" s="7" t="s">
        <v>96</v>
      </c>
      <c r="F51" s="3" t="s">
        <v>8</v>
      </c>
      <c r="G51" s="12" t="s">
        <v>97</v>
      </c>
    </row>
    <row r="52" spans="1:8" ht="32">
      <c r="A52" t="s">
        <v>98</v>
      </c>
      <c r="B52">
        <v>4</v>
      </c>
      <c r="C52" s="2">
        <v>4</v>
      </c>
      <c r="D52" s="7" t="s">
        <v>99</v>
      </c>
      <c r="F52" s="3" t="s">
        <v>8</v>
      </c>
      <c r="G52" s="12" t="s">
        <v>100</v>
      </c>
    </row>
    <row r="53" spans="1:8" ht="32">
      <c r="A53" t="s">
        <v>101</v>
      </c>
      <c r="B53">
        <v>4</v>
      </c>
      <c r="C53" s="2">
        <v>5</v>
      </c>
      <c r="D53" s="7" t="s">
        <v>102</v>
      </c>
      <c r="F53" s="3" t="s">
        <v>8</v>
      </c>
      <c r="G53" s="12" t="s">
        <v>103</v>
      </c>
    </row>
    <row r="54" spans="1:8" ht="32">
      <c r="A54" t="s">
        <v>104</v>
      </c>
      <c r="B54">
        <v>4</v>
      </c>
      <c r="C54" s="2">
        <v>6</v>
      </c>
      <c r="D54" s="7" t="s">
        <v>105</v>
      </c>
      <c r="F54" s="3" t="s">
        <v>8</v>
      </c>
      <c r="G54" s="12" t="s">
        <v>106</v>
      </c>
    </row>
    <row r="55" spans="1:8" ht="16">
      <c r="A55" t="s">
        <v>107</v>
      </c>
      <c r="B55">
        <v>4</v>
      </c>
      <c r="C55" s="2">
        <v>7</v>
      </c>
      <c r="D55" s="7" t="s">
        <v>105</v>
      </c>
      <c r="F55" s="3" t="s">
        <v>8</v>
      </c>
      <c r="G55" s="12" t="s">
        <v>108</v>
      </c>
    </row>
    <row r="56" spans="1:8">
      <c r="A56" t="s">
        <v>109</v>
      </c>
      <c r="B56">
        <v>4</v>
      </c>
      <c r="C56" s="2" t="s">
        <v>110</v>
      </c>
      <c r="D56" s="7" t="s">
        <v>11</v>
      </c>
      <c r="F56" s="3" t="s">
        <v>8</v>
      </c>
    </row>
    <row r="57" spans="1:8">
      <c r="A57" t="s">
        <v>111</v>
      </c>
      <c r="B57">
        <v>4</v>
      </c>
      <c r="C57" s="2" t="s">
        <v>112</v>
      </c>
      <c r="D57" s="7" t="s">
        <v>11</v>
      </c>
      <c r="F57" s="3" t="s">
        <v>8</v>
      </c>
    </row>
    <row r="58" spans="1:8" ht="32">
      <c r="A58" t="s">
        <v>452</v>
      </c>
      <c r="B58">
        <v>4</v>
      </c>
      <c r="C58" s="2">
        <v>10</v>
      </c>
      <c r="D58" s="7" t="s">
        <v>113</v>
      </c>
      <c r="E58" t="s">
        <v>398</v>
      </c>
      <c r="F58" s="5" t="s">
        <v>166</v>
      </c>
      <c r="G58" s="12" t="s">
        <v>114</v>
      </c>
      <c r="H58" t="s">
        <v>453</v>
      </c>
    </row>
    <row r="59" spans="1:8">
      <c r="A59" t="s">
        <v>115</v>
      </c>
      <c r="B59">
        <v>4</v>
      </c>
      <c r="C59" s="2">
        <v>11</v>
      </c>
      <c r="D59" s="7" t="s">
        <v>116</v>
      </c>
      <c r="F59" s="3" t="s">
        <v>8</v>
      </c>
    </row>
    <row r="60" spans="1:8">
      <c r="A60" t="s">
        <v>117</v>
      </c>
      <c r="B60">
        <v>4</v>
      </c>
      <c r="C60" s="2">
        <v>12</v>
      </c>
      <c r="D60" s="7" t="s">
        <v>116</v>
      </c>
      <c r="F60" s="3" t="s">
        <v>8</v>
      </c>
    </row>
    <row r="61" spans="1:8">
      <c r="A61" t="s">
        <v>118</v>
      </c>
      <c r="B61">
        <v>4</v>
      </c>
      <c r="C61" s="2">
        <v>13</v>
      </c>
      <c r="D61" s="7" t="s">
        <v>116</v>
      </c>
      <c r="F61" s="3" t="s">
        <v>8</v>
      </c>
    </row>
    <row r="62" spans="1:8">
      <c r="A62" t="s">
        <v>119</v>
      </c>
      <c r="B62">
        <v>4</v>
      </c>
      <c r="C62" s="2">
        <v>14</v>
      </c>
      <c r="D62" s="7" t="s">
        <v>116</v>
      </c>
      <c r="F62" s="3" t="s">
        <v>8</v>
      </c>
    </row>
    <row r="63" spans="1:8" ht="32">
      <c r="A63" t="s">
        <v>120</v>
      </c>
      <c r="B63">
        <v>5</v>
      </c>
      <c r="C63" s="2" t="s">
        <v>49</v>
      </c>
      <c r="D63" s="7" t="s">
        <v>121</v>
      </c>
      <c r="E63" t="s">
        <v>399</v>
      </c>
      <c r="F63" s="5" t="s">
        <v>166</v>
      </c>
      <c r="G63" s="12" t="s">
        <v>122</v>
      </c>
      <c r="H63" t="s">
        <v>454</v>
      </c>
    </row>
    <row r="64" spans="1:8" ht="48">
      <c r="A64" t="s">
        <v>123</v>
      </c>
      <c r="B64">
        <v>5</v>
      </c>
      <c r="C64" s="2" t="s">
        <v>54</v>
      </c>
      <c r="D64" s="7" t="s">
        <v>121</v>
      </c>
      <c r="E64" t="s">
        <v>400</v>
      </c>
      <c r="F64" s="5" t="s">
        <v>166</v>
      </c>
      <c r="G64" s="12" t="s">
        <v>124</v>
      </c>
      <c r="H64" t="s">
        <v>455</v>
      </c>
    </row>
    <row r="65" spans="1:8">
      <c r="A65" t="s">
        <v>125</v>
      </c>
      <c r="B65">
        <v>5</v>
      </c>
      <c r="C65" s="2" t="s">
        <v>126</v>
      </c>
      <c r="D65" s="7" t="s">
        <v>11</v>
      </c>
      <c r="F65" s="3" t="s">
        <v>8</v>
      </c>
    </row>
    <row r="66" spans="1:8">
      <c r="A66" t="s">
        <v>127</v>
      </c>
      <c r="B66">
        <v>5</v>
      </c>
      <c r="C66" s="2" t="s">
        <v>128</v>
      </c>
      <c r="D66" s="7" t="s">
        <v>11</v>
      </c>
      <c r="F66" s="3" t="s">
        <v>8</v>
      </c>
    </row>
    <row r="67" spans="1:8">
      <c r="A67" t="s">
        <v>129</v>
      </c>
      <c r="B67">
        <v>5</v>
      </c>
      <c r="C67" s="2" t="s">
        <v>130</v>
      </c>
      <c r="D67" s="7" t="s">
        <v>11</v>
      </c>
      <c r="F67" s="3" t="s">
        <v>8</v>
      </c>
    </row>
    <row r="68" spans="1:8">
      <c r="A68" t="s">
        <v>131</v>
      </c>
      <c r="B68">
        <v>5</v>
      </c>
      <c r="C68" s="2" t="s">
        <v>132</v>
      </c>
      <c r="D68" s="7" t="s">
        <v>11</v>
      </c>
      <c r="F68" s="3" t="s">
        <v>8</v>
      </c>
    </row>
    <row r="69" spans="1:8" ht="16">
      <c r="A69" t="s">
        <v>133</v>
      </c>
      <c r="B69">
        <v>5</v>
      </c>
      <c r="C69" s="2">
        <v>4</v>
      </c>
      <c r="D69" s="7" t="s">
        <v>116</v>
      </c>
      <c r="E69" t="s">
        <v>401</v>
      </c>
      <c r="F69" s="5" t="s">
        <v>166</v>
      </c>
      <c r="G69" s="12" t="s">
        <v>134</v>
      </c>
      <c r="H69" t="s">
        <v>456</v>
      </c>
    </row>
    <row r="70" spans="1:8" ht="16">
      <c r="A70" t="s">
        <v>135</v>
      </c>
      <c r="B70">
        <v>5</v>
      </c>
      <c r="C70" s="2">
        <v>5</v>
      </c>
      <c r="D70" s="7" t="s">
        <v>33</v>
      </c>
      <c r="E70" t="s">
        <v>402</v>
      </c>
      <c r="F70" s="5" t="s">
        <v>166</v>
      </c>
      <c r="G70" s="12" t="s">
        <v>136</v>
      </c>
      <c r="H70" t="s">
        <v>456</v>
      </c>
    </row>
    <row r="71" spans="1:8" ht="16">
      <c r="A71" t="s">
        <v>137</v>
      </c>
      <c r="B71">
        <v>5</v>
      </c>
      <c r="C71" s="2" t="s">
        <v>19</v>
      </c>
      <c r="D71" s="7" t="s">
        <v>33</v>
      </c>
      <c r="E71" t="s">
        <v>403</v>
      </c>
      <c r="F71" s="5" t="s">
        <v>166</v>
      </c>
      <c r="G71" s="12" t="s">
        <v>136</v>
      </c>
      <c r="H71" t="s">
        <v>456</v>
      </c>
    </row>
    <row r="72" spans="1:8" ht="16">
      <c r="A72" t="s">
        <v>138</v>
      </c>
      <c r="B72">
        <v>5</v>
      </c>
      <c r="C72" s="2" t="s">
        <v>21</v>
      </c>
      <c r="D72" s="7" t="s">
        <v>116</v>
      </c>
      <c r="E72" t="s">
        <v>404</v>
      </c>
      <c r="F72" s="5" t="s">
        <v>166</v>
      </c>
      <c r="G72" s="12" t="s">
        <v>139</v>
      </c>
      <c r="H72" t="s">
        <v>456</v>
      </c>
    </row>
    <row r="73" spans="1:8" ht="16">
      <c r="A73" t="s">
        <v>140</v>
      </c>
      <c r="B73">
        <v>5</v>
      </c>
      <c r="C73" s="2" t="s">
        <v>141</v>
      </c>
      <c r="D73" s="7" t="s">
        <v>33</v>
      </c>
      <c r="E73" t="s">
        <v>405</v>
      </c>
      <c r="F73" s="5" t="s">
        <v>166</v>
      </c>
      <c r="G73" s="12" t="s">
        <v>136</v>
      </c>
      <c r="H73" t="s">
        <v>460</v>
      </c>
    </row>
    <row r="74" spans="1:8" ht="16">
      <c r="A74" t="s">
        <v>142</v>
      </c>
      <c r="B74">
        <v>5</v>
      </c>
      <c r="C74" s="2" t="s">
        <v>143</v>
      </c>
      <c r="D74" s="7" t="s">
        <v>116</v>
      </c>
      <c r="E74" t="s">
        <v>405</v>
      </c>
      <c r="F74" s="5" t="s">
        <v>166</v>
      </c>
      <c r="G74" s="12" t="s">
        <v>134</v>
      </c>
      <c r="H74" t="s">
        <v>456</v>
      </c>
    </row>
    <row r="75" spans="1:8" ht="16">
      <c r="A75" t="s">
        <v>144</v>
      </c>
      <c r="B75">
        <v>5</v>
      </c>
      <c r="C75" s="2" t="s">
        <v>145</v>
      </c>
      <c r="D75" s="7" t="s">
        <v>116</v>
      </c>
      <c r="E75" t="s">
        <v>405</v>
      </c>
      <c r="F75" s="5" t="s">
        <v>166</v>
      </c>
      <c r="G75" s="12" t="s">
        <v>134</v>
      </c>
      <c r="H75" t="s">
        <v>456</v>
      </c>
    </row>
    <row r="76" spans="1:8" ht="16">
      <c r="A76" t="s">
        <v>146</v>
      </c>
      <c r="B76">
        <v>5</v>
      </c>
      <c r="C76" s="2" t="s">
        <v>147</v>
      </c>
      <c r="D76" s="7" t="s">
        <v>116</v>
      </c>
      <c r="E76" t="s">
        <v>405</v>
      </c>
      <c r="F76" s="5" t="s">
        <v>166</v>
      </c>
      <c r="G76" s="12" t="s">
        <v>134</v>
      </c>
      <c r="H76" t="s">
        <v>460</v>
      </c>
    </row>
    <row r="77" spans="1:8" ht="16">
      <c r="A77" t="s">
        <v>148</v>
      </c>
      <c r="B77">
        <v>5</v>
      </c>
      <c r="C77" s="2" t="s">
        <v>110</v>
      </c>
      <c r="D77" s="7" t="s">
        <v>116</v>
      </c>
      <c r="E77" t="s">
        <v>405</v>
      </c>
      <c r="F77" s="5" t="s">
        <v>166</v>
      </c>
      <c r="G77" s="12" t="s">
        <v>134</v>
      </c>
      <c r="H77" t="s">
        <v>456</v>
      </c>
    </row>
    <row r="78" spans="1:8" ht="16">
      <c r="A78" t="s">
        <v>149</v>
      </c>
      <c r="B78">
        <v>5</v>
      </c>
      <c r="C78" s="2" t="s">
        <v>112</v>
      </c>
      <c r="D78" s="7" t="s">
        <v>116</v>
      </c>
      <c r="E78" t="s">
        <v>405</v>
      </c>
      <c r="F78" s="5" t="s">
        <v>166</v>
      </c>
      <c r="G78" s="12" t="s">
        <v>134</v>
      </c>
      <c r="H78" t="s">
        <v>456</v>
      </c>
    </row>
    <row r="79" spans="1:8" ht="16">
      <c r="A79" t="s">
        <v>150</v>
      </c>
      <c r="B79">
        <v>5</v>
      </c>
      <c r="C79" s="2">
        <v>9</v>
      </c>
      <c r="D79" s="7" t="s">
        <v>116</v>
      </c>
      <c r="E79" t="s">
        <v>405</v>
      </c>
      <c r="F79" s="5" t="s">
        <v>166</v>
      </c>
      <c r="G79" s="12" t="s">
        <v>134</v>
      </c>
      <c r="H79" t="s">
        <v>456</v>
      </c>
    </row>
    <row r="80" spans="1:8">
      <c r="A80" t="s">
        <v>151</v>
      </c>
      <c r="B80">
        <v>5</v>
      </c>
      <c r="C80" s="2" t="s">
        <v>29</v>
      </c>
      <c r="D80" s="7" t="s">
        <v>11</v>
      </c>
      <c r="F80" s="3" t="s">
        <v>8</v>
      </c>
    </row>
    <row r="81" spans="1:8">
      <c r="A81" t="s">
        <v>152</v>
      </c>
      <c r="B81">
        <v>5</v>
      </c>
      <c r="C81" s="2" t="s">
        <v>31</v>
      </c>
      <c r="D81" s="7" t="s">
        <v>11</v>
      </c>
      <c r="F81" s="3" t="s">
        <v>8</v>
      </c>
    </row>
    <row r="82" spans="1:8">
      <c r="A82" t="s">
        <v>153</v>
      </c>
      <c r="B82">
        <v>5</v>
      </c>
      <c r="C82" s="2" t="s">
        <v>154</v>
      </c>
      <c r="D82" s="7" t="s">
        <v>11</v>
      </c>
      <c r="F82" s="3" t="s">
        <v>8</v>
      </c>
    </row>
    <row r="83" spans="1:8">
      <c r="A83" t="s">
        <v>155</v>
      </c>
      <c r="B83">
        <v>5</v>
      </c>
      <c r="C83" s="2" t="s">
        <v>156</v>
      </c>
      <c r="D83" s="7" t="s">
        <v>11</v>
      </c>
      <c r="F83" s="3" t="s">
        <v>8</v>
      </c>
    </row>
    <row r="84" spans="1:8">
      <c r="A84" t="s">
        <v>157</v>
      </c>
      <c r="B84">
        <v>5</v>
      </c>
      <c r="C84" s="2" t="s">
        <v>158</v>
      </c>
      <c r="D84" s="7" t="s">
        <v>11</v>
      </c>
      <c r="F84" s="3" t="s">
        <v>8</v>
      </c>
    </row>
    <row r="85" spans="1:8">
      <c r="A85" t="s">
        <v>159</v>
      </c>
      <c r="B85">
        <v>5</v>
      </c>
      <c r="C85" s="2" t="s">
        <v>160</v>
      </c>
      <c r="D85" s="7" t="s">
        <v>11</v>
      </c>
      <c r="F85" s="3" t="s">
        <v>8</v>
      </c>
    </row>
    <row r="86" spans="1:8" ht="16">
      <c r="A86" t="s">
        <v>161</v>
      </c>
      <c r="B86">
        <v>5</v>
      </c>
      <c r="C86" s="2">
        <v>12</v>
      </c>
      <c r="D86" s="7" t="s">
        <v>116</v>
      </c>
      <c r="E86" t="s">
        <v>405</v>
      </c>
      <c r="F86" s="5" t="s">
        <v>166</v>
      </c>
      <c r="G86" s="12" t="s">
        <v>134</v>
      </c>
      <c r="H86" t="s">
        <v>456</v>
      </c>
    </row>
    <row r="87" spans="1:8" ht="32">
      <c r="A87" t="s">
        <v>457</v>
      </c>
      <c r="B87">
        <v>6</v>
      </c>
      <c r="C87" s="2" t="s">
        <v>49</v>
      </c>
      <c r="D87" s="7" t="s">
        <v>162</v>
      </c>
      <c r="E87" t="s">
        <v>406</v>
      </c>
      <c r="F87" s="5" t="s">
        <v>166</v>
      </c>
      <c r="G87" s="12" t="s">
        <v>163</v>
      </c>
      <c r="H87" t="s">
        <v>449</v>
      </c>
    </row>
    <row r="88" spans="1:8" ht="32">
      <c r="A88" t="s">
        <v>458</v>
      </c>
      <c r="B88">
        <v>6</v>
      </c>
      <c r="C88" s="2" t="s">
        <v>54</v>
      </c>
      <c r="D88" s="7" t="s">
        <v>162</v>
      </c>
      <c r="E88" t="s">
        <v>407</v>
      </c>
      <c r="F88" s="5" t="s">
        <v>166</v>
      </c>
      <c r="G88" s="12" t="s">
        <v>164</v>
      </c>
      <c r="H88" t="s">
        <v>449</v>
      </c>
    </row>
    <row r="89" spans="1:8" ht="32">
      <c r="A89" t="s">
        <v>165</v>
      </c>
      <c r="B89">
        <v>6</v>
      </c>
      <c r="C89" s="2">
        <v>2</v>
      </c>
      <c r="D89" s="7" t="s">
        <v>105</v>
      </c>
      <c r="E89" t="s">
        <v>408</v>
      </c>
      <c r="F89" s="5" t="s">
        <v>166</v>
      </c>
      <c r="G89" s="12" t="s">
        <v>167</v>
      </c>
      <c r="H89" t="s">
        <v>459</v>
      </c>
    </row>
    <row r="90" spans="1:8" ht="16">
      <c r="A90" t="s">
        <v>168</v>
      </c>
      <c r="B90">
        <v>6</v>
      </c>
      <c r="C90" s="2" t="s">
        <v>130</v>
      </c>
      <c r="D90" s="7" t="s">
        <v>169</v>
      </c>
      <c r="E90" t="s">
        <v>405</v>
      </c>
      <c r="F90" s="5" t="s">
        <v>166</v>
      </c>
      <c r="G90" s="12" t="s">
        <v>461</v>
      </c>
    </row>
    <row r="91" spans="1:8" ht="16">
      <c r="A91" t="s">
        <v>171</v>
      </c>
      <c r="B91">
        <v>6</v>
      </c>
      <c r="C91" s="2" t="s">
        <v>132</v>
      </c>
      <c r="D91" s="7" t="s">
        <v>169</v>
      </c>
      <c r="E91" t="s">
        <v>405</v>
      </c>
      <c r="F91" s="5" t="s">
        <v>166</v>
      </c>
      <c r="G91" s="12" t="s">
        <v>170</v>
      </c>
    </row>
    <row r="92" spans="1:8" ht="16">
      <c r="A92" t="s">
        <v>172</v>
      </c>
      <c r="B92">
        <v>6</v>
      </c>
      <c r="C92" s="2" t="s">
        <v>173</v>
      </c>
      <c r="D92" s="7" t="s">
        <v>169</v>
      </c>
      <c r="E92" t="s">
        <v>405</v>
      </c>
      <c r="F92" s="5" t="s">
        <v>166</v>
      </c>
      <c r="G92" s="12" t="s">
        <v>170</v>
      </c>
    </row>
    <row r="93" spans="1:8" ht="32">
      <c r="A93" t="s">
        <v>174</v>
      </c>
      <c r="B93">
        <v>6</v>
      </c>
      <c r="C93" s="2" t="s">
        <v>175</v>
      </c>
      <c r="D93" s="7" t="s">
        <v>176</v>
      </c>
      <c r="E93" t="s">
        <v>405</v>
      </c>
      <c r="F93" s="5" t="s">
        <v>166</v>
      </c>
      <c r="G93" s="12" t="s">
        <v>462</v>
      </c>
    </row>
    <row r="94" spans="1:8">
      <c r="A94" t="s">
        <v>177</v>
      </c>
      <c r="B94">
        <v>6</v>
      </c>
      <c r="C94" s="2" t="s">
        <v>178</v>
      </c>
      <c r="D94" s="7" t="s">
        <v>11</v>
      </c>
      <c r="F94" s="3" t="s">
        <v>8</v>
      </c>
    </row>
    <row r="95" spans="1:8">
      <c r="A95" t="s">
        <v>179</v>
      </c>
      <c r="B95">
        <v>6</v>
      </c>
      <c r="C95" s="2" t="s">
        <v>15</v>
      </c>
      <c r="D95" s="7" t="s">
        <v>11</v>
      </c>
      <c r="F95" s="3" t="s">
        <v>8</v>
      </c>
    </row>
    <row r="96" spans="1:8">
      <c r="A96" t="s">
        <v>180</v>
      </c>
      <c r="B96">
        <v>6</v>
      </c>
      <c r="C96" s="2" t="s">
        <v>17</v>
      </c>
      <c r="D96" s="7" t="s">
        <v>11</v>
      </c>
      <c r="F96" s="3" t="s">
        <v>8</v>
      </c>
    </row>
    <row r="97" spans="1:8">
      <c r="A97" t="s">
        <v>181</v>
      </c>
      <c r="B97">
        <v>6</v>
      </c>
      <c r="C97" s="2">
        <v>6</v>
      </c>
      <c r="D97" s="7" t="s">
        <v>11</v>
      </c>
      <c r="F97" s="3" t="s">
        <v>8</v>
      </c>
    </row>
    <row r="98" spans="1:8">
      <c r="A98" t="s">
        <v>182</v>
      </c>
      <c r="B98">
        <v>7</v>
      </c>
      <c r="C98" s="2" t="s">
        <v>49</v>
      </c>
      <c r="D98" s="7" t="s">
        <v>11</v>
      </c>
      <c r="F98" s="3" t="s">
        <v>8</v>
      </c>
    </row>
    <row r="99" spans="1:8">
      <c r="A99" t="s">
        <v>183</v>
      </c>
      <c r="B99">
        <v>7</v>
      </c>
      <c r="C99" s="2" t="s">
        <v>54</v>
      </c>
      <c r="D99" s="7" t="s">
        <v>11</v>
      </c>
      <c r="F99" s="3" t="s">
        <v>8</v>
      </c>
    </row>
    <row r="100" spans="1:8">
      <c r="A100" t="s">
        <v>184</v>
      </c>
      <c r="B100">
        <v>7</v>
      </c>
      <c r="C100" s="2">
        <v>2</v>
      </c>
      <c r="D100" s="7" t="s">
        <v>11</v>
      </c>
      <c r="F100" s="3" t="s">
        <v>8</v>
      </c>
    </row>
    <row r="101" spans="1:8" ht="48">
      <c r="A101" t="s">
        <v>185</v>
      </c>
      <c r="B101">
        <v>7</v>
      </c>
      <c r="C101" s="2">
        <v>3</v>
      </c>
      <c r="D101" s="7" t="s">
        <v>186</v>
      </c>
      <c r="E101" t="s">
        <v>409</v>
      </c>
      <c r="F101" s="4" t="s">
        <v>51</v>
      </c>
      <c r="G101" s="12" t="s">
        <v>187</v>
      </c>
    </row>
    <row r="102" spans="1:8">
      <c r="A102" t="s">
        <v>188</v>
      </c>
      <c r="B102">
        <v>7</v>
      </c>
      <c r="C102" s="2" t="s">
        <v>175</v>
      </c>
      <c r="D102" s="7" t="s">
        <v>11</v>
      </c>
      <c r="F102" s="3" t="s">
        <v>8</v>
      </c>
    </row>
    <row r="103" spans="1:8">
      <c r="A103" t="s">
        <v>189</v>
      </c>
      <c r="B103">
        <v>7</v>
      </c>
      <c r="C103" s="2" t="s">
        <v>178</v>
      </c>
      <c r="D103" s="7" t="s">
        <v>11</v>
      </c>
      <c r="F103" s="3" t="s">
        <v>8</v>
      </c>
    </row>
    <row r="104" spans="1:8">
      <c r="A104" t="s">
        <v>190</v>
      </c>
      <c r="B104">
        <v>7</v>
      </c>
      <c r="C104" s="2">
        <v>5</v>
      </c>
      <c r="D104" s="7" t="s">
        <v>11</v>
      </c>
      <c r="F104" s="3" t="s">
        <v>8</v>
      </c>
    </row>
    <row r="105" spans="1:8" ht="32">
      <c r="A105" t="s">
        <v>191</v>
      </c>
      <c r="B105">
        <v>8</v>
      </c>
      <c r="C105" s="2">
        <v>1</v>
      </c>
      <c r="D105" s="7" t="s">
        <v>192</v>
      </c>
      <c r="E105" t="s">
        <v>410</v>
      </c>
      <c r="F105" s="4" t="s">
        <v>51</v>
      </c>
      <c r="G105" s="12" t="s">
        <v>193</v>
      </c>
    </row>
    <row r="106" spans="1:8" ht="48">
      <c r="A106" t="s">
        <v>194</v>
      </c>
      <c r="B106">
        <v>8</v>
      </c>
      <c r="C106" s="2">
        <v>2</v>
      </c>
      <c r="D106" s="7" t="s">
        <v>33</v>
      </c>
      <c r="E106" t="s">
        <v>411</v>
      </c>
      <c r="F106" s="5" t="s">
        <v>166</v>
      </c>
      <c r="G106" s="12" t="s">
        <v>195</v>
      </c>
      <c r="H106" t="s">
        <v>463</v>
      </c>
    </row>
    <row r="107" spans="1:8">
      <c r="A107" t="s">
        <v>196</v>
      </c>
      <c r="B107">
        <v>8</v>
      </c>
      <c r="C107" s="2">
        <v>3</v>
      </c>
      <c r="D107" s="7" t="s">
        <v>11</v>
      </c>
      <c r="F107" s="3" t="s">
        <v>8</v>
      </c>
    </row>
    <row r="108" spans="1:8">
      <c r="A108" t="s">
        <v>197</v>
      </c>
      <c r="B108">
        <v>8</v>
      </c>
      <c r="C108" s="2">
        <v>4</v>
      </c>
      <c r="D108" s="7" t="s">
        <v>116</v>
      </c>
      <c r="F108" s="3" t="s">
        <v>8</v>
      </c>
    </row>
    <row r="109" spans="1:8" ht="16">
      <c r="A109" t="s">
        <v>198</v>
      </c>
      <c r="B109">
        <v>9</v>
      </c>
      <c r="C109" s="2" t="s">
        <v>49</v>
      </c>
      <c r="D109" s="7" t="s">
        <v>199</v>
      </c>
      <c r="E109" t="s">
        <v>412</v>
      </c>
      <c r="F109" s="4" t="s">
        <v>51</v>
      </c>
      <c r="G109" s="12" t="s">
        <v>200</v>
      </c>
    </row>
    <row r="110" spans="1:8" ht="32">
      <c r="A110" t="s">
        <v>201</v>
      </c>
      <c r="B110">
        <v>9</v>
      </c>
      <c r="C110" s="2" t="s">
        <v>54</v>
      </c>
      <c r="D110" s="7" t="s">
        <v>67</v>
      </c>
      <c r="F110" s="3" t="s">
        <v>8</v>
      </c>
      <c r="G110" s="12" t="s">
        <v>202</v>
      </c>
    </row>
    <row r="111" spans="1:8">
      <c r="A111" t="s">
        <v>203</v>
      </c>
      <c r="B111">
        <v>9</v>
      </c>
      <c r="C111" s="2">
        <v>2</v>
      </c>
      <c r="D111" s="7" t="s">
        <v>11</v>
      </c>
      <c r="F111" s="3" t="s">
        <v>8</v>
      </c>
    </row>
    <row r="112" spans="1:8">
      <c r="A112" t="s">
        <v>204</v>
      </c>
      <c r="B112">
        <v>9</v>
      </c>
      <c r="C112" s="2" t="s">
        <v>130</v>
      </c>
      <c r="D112" s="7" t="s">
        <v>11</v>
      </c>
      <c r="F112" s="3" t="s">
        <v>8</v>
      </c>
    </row>
    <row r="113" spans="1:8">
      <c r="A113" t="s">
        <v>205</v>
      </c>
      <c r="B113">
        <v>9</v>
      </c>
      <c r="C113" s="2" t="s">
        <v>132</v>
      </c>
      <c r="D113" s="7" t="s">
        <v>11</v>
      </c>
      <c r="F113" s="3" t="s">
        <v>8</v>
      </c>
    </row>
    <row r="114" spans="1:8">
      <c r="A114" t="s">
        <v>206</v>
      </c>
      <c r="B114">
        <v>9</v>
      </c>
      <c r="C114" s="2" t="s">
        <v>173</v>
      </c>
      <c r="D114" s="7" t="s">
        <v>11</v>
      </c>
      <c r="F114" s="3" t="s">
        <v>8</v>
      </c>
    </row>
    <row r="115" spans="1:8" ht="16">
      <c r="A115" t="s">
        <v>207</v>
      </c>
      <c r="B115">
        <v>9</v>
      </c>
      <c r="C115" s="2" t="s">
        <v>175</v>
      </c>
      <c r="D115" s="7" t="s">
        <v>33</v>
      </c>
      <c r="E115" t="s">
        <v>413</v>
      </c>
      <c r="F115" s="5" t="s">
        <v>166</v>
      </c>
      <c r="G115" s="12" t="s">
        <v>134</v>
      </c>
      <c r="H115" t="s">
        <v>456</v>
      </c>
    </row>
    <row r="116" spans="1:8" ht="16">
      <c r="A116" t="s">
        <v>208</v>
      </c>
      <c r="B116">
        <v>9</v>
      </c>
      <c r="C116" s="2" t="s">
        <v>178</v>
      </c>
      <c r="D116" s="7" t="s">
        <v>116</v>
      </c>
      <c r="E116" t="s">
        <v>405</v>
      </c>
      <c r="F116" s="5" t="s">
        <v>166</v>
      </c>
      <c r="G116" s="12" t="s">
        <v>134</v>
      </c>
      <c r="H116" t="s">
        <v>456</v>
      </c>
    </row>
    <row r="117" spans="1:8">
      <c r="A117" t="s">
        <v>209</v>
      </c>
      <c r="B117">
        <v>9</v>
      </c>
      <c r="C117" s="2" t="s">
        <v>15</v>
      </c>
      <c r="D117" s="7" t="s">
        <v>11</v>
      </c>
      <c r="F117" s="3" t="s">
        <v>8</v>
      </c>
    </row>
    <row r="118" spans="1:8" ht="16">
      <c r="A118" t="s">
        <v>464</v>
      </c>
      <c r="B118">
        <v>9</v>
      </c>
      <c r="C118" s="2" t="s">
        <v>17</v>
      </c>
      <c r="D118" s="7" t="s">
        <v>210</v>
      </c>
      <c r="E118" t="s">
        <v>414</v>
      </c>
      <c r="F118" s="5" t="s">
        <v>166</v>
      </c>
      <c r="G118" s="12" t="s">
        <v>211</v>
      </c>
      <c r="H118" t="s">
        <v>449</v>
      </c>
    </row>
    <row r="119" spans="1:8">
      <c r="A119" t="s">
        <v>212</v>
      </c>
      <c r="B119">
        <v>9</v>
      </c>
      <c r="C119" s="2" t="s">
        <v>19</v>
      </c>
      <c r="D119" s="7" t="s">
        <v>11</v>
      </c>
      <c r="F119" s="3" t="s">
        <v>8</v>
      </c>
    </row>
    <row r="120" spans="1:8">
      <c r="A120" t="s">
        <v>213</v>
      </c>
      <c r="B120">
        <v>9</v>
      </c>
      <c r="C120" s="2" t="s">
        <v>21</v>
      </c>
      <c r="D120" s="7" t="s">
        <v>11</v>
      </c>
      <c r="F120" s="3" t="s">
        <v>8</v>
      </c>
    </row>
    <row r="121" spans="1:8">
      <c r="A121" t="s">
        <v>214</v>
      </c>
      <c r="B121">
        <v>9</v>
      </c>
      <c r="C121" s="2" t="s">
        <v>143</v>
      </c>
      <c r="D121" s="7" t="s">
        <v>11</v>
      </c>
      <c r="F121" s="3" t="s">
        <v>8</v>
      </c>
    </row>
    <row r="122" spans="1:8">
      <c r="A122" t="s">
        <v>215</v>
      </c>
      <c r="B122">
        <v>9</v>
      </c>
      <c r="C122" s="2" t="s">
        <v>145</v>
      </c>
      <c r="D122" s="7" t="s">
        <v>11</v>
      </c>
      <c r="F122" s="5" t="s">
        <v>166</v>
      </c>
      <c r="H122" t="s">
        <v>465</v>
      </c>
    </row>
    <row r="123" spans="1:8">
      <c r="A123" t="s">
        <v>216</v>
      </c>
      <c r="B123">
        <v>9</v>
      </c>
      <c r="C123" s="2" t="s">
        <v>147</v>
      </c>
      <c r="D123" s="7" t="s">
        <v>11</v>
      </c>
      <c r="F123" s="3" t="s">
        <v>8</v>
      </c>
    </row>
    <row r="124" spans="1:8" ht="48">
      <c r="A124" t="s">
        <v>217</v>
      </c>
      <c r="B124">
        <v>9</v>
      </c>
      <c r="C124" s="2" t="s">
        <v>218</v>
      </c>
      <c r="D124" s="7" t="s">
        <v>219</v>
      </c>
      <c r="E124" t="s">
        <v>415</v>
      </c>
      <c r="F124" s="5" t="s">
        <v>166</v>
      </c>
      <c r="G124" s="12" t="s">
        <v>220</v>
      </c>
      <c r="H124" t="s">
        <v>466</v>
      </c>
    </row>
    <row r="125" spans="1:8" ht="32">
      <c r="A125" t="s">
        <v>221</v>
      </c>
      <c r="B125">
        <v>9</v>
      </c>
      <c r="C125" s="2">
        <v>8</v>
      </c>
      <c r="D125" s="7" t="s">
        <v>99</v>
      </c>
      <c r="F125" s="3" t="s">
        <v>8</v>
      </c>
      <c r="G125" s="12" t="s">
        <v>222</v>
      </c>
    </row>
    <row r="126" spans="1:8" ht="32">
      <c r="A126" t="s">
        <v>223</v>
      </c>
      <c r="B126">
        <v>9</v>
      </c>
      <c r="C126" s="2" t="s">
        <v>25</v>
      </c>
      <c r="D126" s="7" t="s">
        <v>67</v>
      </c>
      <c r="F126" s="3" t="s">
        <v>8</v>
      </c>
      <c r="G126" s="12" t="s">
        <v>224</v>
      </c>
    </row>
    <row r="127" spans="1:8" ht="16">
      <c r="A127" t="s">
        <v>467</v>
      </c>
      <c r="B127">
        <v>9</v>
      </c>
      <c r="C127" s="2" t="s">
        <v>27</v>
      </c>
      <c r="D127" s="7" t="s">
        <v>225</v>
      </c>
      <c r="E127" t="s">
        <v>416</v>
      </c>
      <c r="F127" s="5" t="s">
        <v>166</v>
      </c>
      <c r="G127" s="12" t="s">
        <v>226</v>
      </c>
    </row>
    <row r="128" spans="1:8" ht="64">
      <c r="A128" t="s">
        <v>227</v>
      </c>
      <c r="B128">
        <v>9</v>
      </c>
      <c r="C128" s="2">
        <v>10</v>
      </c>
      <c r="D128" s="7" t="s">
        <v>228</v>
      </c>
      <c r="E128" t="s">
        <v>417</v>
      </c>
      <c r="F128" s="5" t="s">
        <v>166</v>
      </c>
      <c r="G128" s="12" t="s">
        <v>229</v>
      </c>
      <c r="H128" s="12" t="s">
        <v>468</v>
      </c>
    </row>
    <row r="129" spans="1:8" ht="32">
      <c r="A129" t="s">
        <v>230</v>
      </c>
      <c r="B129">
        <v>9</v>
      </c>
      <c r="C129" s="2" t="s">
        <v>156</v>
      </c>
      <c r="D129" s="7" t="s">
        <v>231</v>
      </c>
      <c r="F129" s="3" t="s">
        <v>8</v>
      </c>
      <c r="G129" s="12" t="s">
        <v>232</v>
      </c>
    </row>
    <row r="130" spans="1:8">
      <c r="A130" t="s">
        <v>233</v>
      </c>
      <c r="B130">
        <v>9</v>
      </c>
      <c r="C130" s="2" t="s">
        <v>158</v>
      </c>
      <c r="D130" s="7" t="s">
        <v>11</v>
      </c>
      <c r="F130" s="3" t="s">
        <v>8</v>
      </c>
    </row>
    <row r="131" spans="1:8">
      <c r="A131" t="s">
        <v>234</v>
      </c>
      <c r="B131">
        <v>9</v>
      </c>
      <c r="C131" s="2" t="s">
        <v>235</v>
      </c>
      <c r="D131" s="7" t="s">
        <v>11</v>
      </c>
      <c r="F131" s="3" t="s">
        <v>8</v>
      </c>
    </row>
    <row r="132" spans="1:8">
      <c r="A132" t="s">
        <v>236</v>
      </c>
      <c r="B132">
        <v>9</v>
      </c>
      <c r="C132" s="2" t="s">
        <v>237</v>
      </c>
      <c r="D132" s="7" t="s">
        <v>11</v>
      </c>
      <c r="F132" s="3" t="s">
        <v>8</v>
      </c>
    </row>
    <row r="133" spans="1:8" ht="16">
      <c r="A133" t="s">
        <v>238</v>
      </c>
      <c r="B133">
        <v>9</v>
      </c>
      <c r="C133" s="2" t="s">
        <v>239</v>
      </c>
      <c r="D133" s="7" t="s">
        <v>240</v>
      </c>
      <c r="E133" t="s">
        <v>418</v>
      </c>
      <c r="F133" s="5" t="s">
        <v>166</v>
      </c>
      <c r="G133" s="12" t="s">
        <v>241</v>
      </c>
      <c r="H133" t="s">
        <v>449</v>
      </c>
    </row>
    <row r="134" spans="1:8">
      <c r="A134" t="s">
        <v>242</v>
      </c>
      <c r="B134">
        <v>9</v>
      </c>
      <c r="C134" s="2" t="s">
        <v>243</v>
      </c>
      <c r="D134" s="7" t="s">
        <v>11</v>
      </c>
      <c r="F134" s="3" t="s">
        <v>8</v>
      </c>
    </row>
    <row r="135" spans="1:8">
      <c r="A135" t="s">
        <v>244</v>
      </c>
      <c r="B135">
        <v>9</v>
      </c>
      <c r="C135" s="2" t="s">
        <v>245</v>
      </c>
      <c r="D135" s="7" t="s">
        <v>11</v>
      </c>
      <c r="F135" s="3" t="s">
        <v>8</v>
      </c>
    </row>
    <row r="136" spans="1:8">
      <c r="A136" t="s">
        <v>246</v>
      </c>
      <c r="B136">
        <v>9</v>
      </c>
      <c r="C136" s="2" t="s">
        <v>39</v>
      </c>
      <c r="D136" s="7" t="s">
        <v>116</v>
      </c>
      <c r="F136" s="3" t="s">
        <v>8</v>
      </c>
    </row>
    <row r="137" spans="1:8">
      <c r="A137" t="s">
        <v>247</v>
      </c>
      <c r="B137">
        <v>9</v>
      </c>
      <c r="C137" s="2" t="s">
        <v>41</v>
      </c>
      <c r="D137" s="7" t="s">
        <v>11</v>
      </c>
      <c r="F137" s="3" t="s">
        <v>8</v>
      </c>
    </row>
    <row r="138" spans="1:8">
      <c r="A138" t="s">
        <v>248</v>
      </c>
      <c r="B138">
        <v>9</v>
      </c>
      <c r="C138" s="2" t="s">
        <v>43</v>
      </c>
      <c r="D138" s="7" t="s">
        <v>11</v>
      </c>
      <c r="F138" s="3" t="s">
        <v>8</v>
      </c>
    </row>
    <row r="139" spans="1:8">
      <c r="A139" t="s">
        <v>249</v>
      </c>
      <c r="B139">
        <v>9</v>
      </c>
      <c r="C139" s="2" t="s">
        <v>250</v>
      </c>
      <c r="D139" s="7" t="s">
        <v>11</v>
      </c>
      <c r="F139" s="3" t="s">
        <v>8</v>
      </c>
    </row>
    <row r="140" spans="1:8" ht="16">
      <c r="A140" t="s">
        <v>251</v>
      </c>
      <c r="B140">
        <v>9</v>
      </c>
      <c r="C140" s="2">
        <v>15</v>
      </c>
      <c r="D140" s="7" t="s">
        <v>33</v>
      </c>
      <c r="E140" t="s">
        <v>419</v>
      </c>
      <c r="F140" s="5" t="s">
        <v>166</v>
      </c>
      <c r="G140" s="12" t="s">
        <v>136</v>
      </c>
      <c r="H140" t="s">
        <v>456</v>
      </c>
    </row>
    <row r="141" spans="1:8" ht="32">
      <c r="A141" t="s">
        <v>252</v>
      </c>
      <c r="B141">
        <v>9</v>
      </c>
      <c r="C141" s="2" t="s">
        <v>253</v>
      </c>
      <c r="D141" s="7" t="s">
        <v>254</v>
      </c>
      <c r="F141" s="3" t="s">
        <v>8</v>
      </c>
      <c r="G141" s="12" t="s">
        <v>255</v>
      </c>
    </row>
    <row r="142" spans="1:8">
      <c r="A142" t="s">
        <v>256</v>
      </c>
      <c r="B142">
        <v>9</v>
      </c>
      <c r="C142" s="2" t="s">
        <v>257</v>
      </c>
      <c r="D142" s="7" t="s">
        <v>116</v>
      </c>
      <c r="F142" s="3" t="s">
        <v>8</v>
      </c>
    </row>
    <row r="143" spans="1:8" ht="32">
      <c r="A143" t="s">
        <v>258</v>
      </c>
      <c r="B143">
        <v>9</v>
      </c>
      <c r="C143" s="2">
        <v>17</v>
      </c>
      <c r="D143" s="7" t="s">
        <v>259</v>
      </c>
      <c r="F143" s="3" t="s">
        <v>8</v>
      </c>
      <c r="G143" s="12" t="s">
        <v>260</v>
      </c>
    </row>
    <row r="144" spans="1:8" ht="16">
      <c r="A144" t="s">
        <v>261</v>
      </c>
      <c r="B144">
        <v>9</v>
      </c>
      <c r="C144" s="2" t="s">
        <v>262</v>
      </c>
      <c r="D144" s="7" t="s">
        <v>263</v>
      </c>
      <c r="F144" s="3" t="s">
        <v>8</v>
      </c>
      <c r="G144" s="12" t="s">
        <v>264</v>
      </c>
    </row>
    <row r="145" spans="1:8">
      <c r="A145" t="s">
        <v>265</v>
      </c>
      <c r="B145">
        <v>9</v>
      </c>
      <c r="C145" s="2" t="s">
        <v>266</v>
      </c>
      <c r="D145" s="7" t="s">
        <v>116</v>
      </c>
      <c r="F145" s="3" t="s">
        <v>8</v>
      </c>
    </row>
    <row r="146" spans="1:8">
      <c r="A146" t="s">
        <v>267</v>
      </c>
      <c r="B146">
        <v>9</v>
      </c>
      <c r="C146" s="2" t="s">
        <v>268</v>
      </c>
      <c r="D146" s="7" t="s">
        <v>116</v>
      </c>
      <c r="F146" s="3" t="s">
        <v>8</v>
      </c>
    </row>
    <row r="147" spans="1:8">
      <c r="A147" t="s">
        <v>269</v>
      </c>
      <c r="B147">
        <v>9</v>
      </c>
      <c r="C147" s="2" t="s">
        <v>270</v>
      </c>
      <c r="D147" s="7" t="s">
        <v>116</v>
      </c>
      <c r="F147" s="3" t="s">
        <v>8</v>
      </c>
    </row>
    <row r="148" spans="1:8">
      <c r="A148" t="s">
        <v>271</v>
      </c>
      <c r="B148">
        <v>9</v>
      </c>
      <c r="C148" s="2" t="s">
        <v>272</v>
      </c>
      <c r="D148" s="7" t="s">
        <v>116</v>
      </c>
      <c r="F148" s="3" t="s">
        <v>8</v>
      </c>
    </row>
    <row r="149" spans="1:8">
      <c r="A149" t="s">
        <v>273</v>
      </c>
      <c r="B149">
        <v>9</v>
      </c>
      <c r="C149" s="2" t="s">
        <v>274</v>
      </c>
      <c r="D149" s="7" t="s">
        <v>116</v>
      </c>
      <c r="F149" s="3" t="s">
        <v>8</v>
      </c>
    </row>
    <row r="150" spans="1:8">
      <c r="A150" t="s">
        <v>275</v>
      </c>
      <c r="B150">
        <v>9</v>
      </c>
      <c r="C150" s="2" t="s">
        <v>276</v>
      </c>
      <c r="D150" s="7" t="s">
        <v>116</v>
      </c>
      <c r="F150" s="3" t="s">
        <v>8</v>
      </c>
    </row>
    <row r="151" spans="1:8">
      <c r="A151" t="s">
        <v>277</v>
      </c>
      <c r="B151">
        <v>9</v>
      </c>
      <c r="C151" s="2" t="s">
        <v>278</v>
      </c>
      <c r="D151" s="7" t="s">
        <v>116</v>
      </c>
      <c r="F151" s="3" t="s">
        <v>8</v>
      </c>
    </row>
    <row r="152" spans="1:8" ht="32">
      <c r="A152" t="s">
        <v>279</v>
      </c>
      <c r="B152">
        <v>10</v>
      </c>
      <c r="C152" s="2">
        <v>1</v>
      </c>
      <c r="D152" s="7" t="s">
        <v>280</v>
      </c>
      <c r="F152" s="4" t="s">
        <v>51</v>
      </c>
      <c r="G152" s="12" t="s">
        <v>281</v>
      </c>
    </row>
    <row r="153" spans="1:8">
      <c r="A153" t="s">
        <v>282</v>
      </c>
      <c r="B153">
        <v>10</v>
      </c>
      <c r="C153" s="2" t="s">
        <v>126</v>
      </c>
      <c r="D153" s="7" t="s">
        <v>11</v>
      </c>
      <c r="F153" s="3" t="s">
        <v>8</v>
      </c>
    </row>
    <row r="154" spans="1:8">
      <c r="A154" t="s">
        <v>283</v>
      </c>
      <c r="B154">
        <v>10</v>
      </c>
      <c r="C154" s="2" t="s">
        <v>128</v>
      </c>
      <c r="D154" s="7" t="s">
        <v>116</v>
      </c>
      <c r="F154" s="3" t="s">
        <v>8</v>
      </c>
    </row>
    <row r="155" spans="1:8" ht="32">
      <c r="A155" t="s">
        <v>284</v>
      </c>
      <c r="B155">
        <v>10</v>
      </c>
      <c r="C155" s="2">
        <v>3</v>
      </c>
      <c r="D155" s="7" t="s">
        <v>285</v>
      </c>
      <c r="E155" t="s">
        <v>420</v>
      </c>
      <c r="F155" s="5" t="s">
        <v>166</v>
      </c>
      <c r="G155" s="12" t="s">
        <v>286</v>
      </c>
      <c r="H155" t="s">
        <v>449</v>
      </c>
    </row>
    <row r="156" spans="1:8" ht="32">
      <c r="A156" t="s">
        <v>287</v>
      </c>
      <c r="B156">
        <v>10</v>
      </c>
      <c r="C156" s="2">
        <v>4</v>
      </c>
      <c r="D156" s="7" t="s">
        <v>288</v>
      </c>
      <c r="E156" t="s">
        <v>421</v>
      </c>
      <c r="F156" s="4" t="s">
        <v>51</v>
      </c>
      <c r="G156" s="12" t="s">
        <v>289</v>
      </c>
    </row>
    <row r="157" spans="1:8" ht="64">
      <c r="A157" t="s">
        <v>290</v>
      </c>
      <c r="B157">
        <v>10</v>
      </c>
      <c r="C157" s="2" t="s">
        <v>15</v>
      </c>
      <c r="D157" s="7" t="s">
        <v>291</v>
      </c>
      <c r="E157" t="s">
        <v>422</v>
      </c>
      <c r="F157" s="5" t="s">
        <v>166</v>
      </c>
      <c r="G157" s="12" t="s">
        <v>292</v>
      </c>
      <c r="H157" s="13" t="s">
        <v>469</v>
      </c>
    </row>
    <row r="158" spans="1:8" ht="32">
      <c r="A158" t="s">
        <v>470</v>
      </c>
      <c r="B158">
        <v>10</v>
      </c>
      <c r="C158" s="2" t="s">
        <v>17</v>
      </c>
      <c r="D158" s="7" t="s">
        <v>33</v>
      </c>
      <c r="E158" t="s">
        <v>423</v>
      </c>
      <c r="F158" s="5" t="s">
        <v>166</v>
      </c>
      <c r="G158" s="12" t="s">
        <v>293</v>
      </c>
      <c r="H158" t="s">
        <v>471</v>
      </c>
    </row>
    <row r="159" spans="1:8">
      <c r="A159" t="s">
        <v>294</v>
      </c>
      <c r="B159">
        <v>10</v>
      </c>
      <c r="C159" s="2" t="s">
        <v>19</v>
      </c>
      <c r="D159" s="7" t="s">
        <v>11</v>
      </c>
      <c r="F159" s="3" t="s">
        <v>8</v>
      </c>
    </row>
    <row r="160" spans="1:8">
      <c r="A160" t="s">
        <v>295</v>
      </c>
      <c r="B160">
        <v>10</v>
      </c>
      <c r="C160" s="2" t="s">
        <v>21</v>
      </c>
      <c r="D160" s="7" t="s">
        <v>11</v>
      </c>
      <c r="F160" s="3" t="s">
        <v>8</v>
      </c>
    </row>
    <row r="161" spans="1:8">
      <c r="A161" t="s">
        <v>296</v>
      </c>
      <c r="B161">
        <v>10</v>
      </c>
      <c r="C161" s="2" t="s">
        <v>143</v>
      </c>
      <c r="D161" s="7" t="s">
        <v>11</v>
      </c>
      <c r="F161" s="3" t="s">
        <v>8</v>
      </c>
    </row>
    <row r="162" spans="1:8">
      <c r="A162" t="s">
        <v>297</v>
      </c>
      <c r="B162">
        <v>10</v>
      </c>
      <c r="C162" s="2" t="s">
        <v>145</v>
      </c>
      <c r="D162" s="7" t="s">
        <v>11</v>
      </c>
      <c r="F162" s="3" t="s">
        <v>8</v>
      </c>
    </row>
    <row r="163" spans="1:8">
      <c r="A163" t="s">
        <v>298</v>
      </c>
      <c r="B163">
        <v>10</v>
      </c>
      <c r="C163" s="2">
        <v>8</v>
      </c>
      <c r="D163" s="7" t="s">
        <v>11</v>
      </c>
      <c r="F163" s="3" t="s">
        <v>8</v>
      </c>
    </row>
    <row r="164" spans="1:8">
      <c r="A164" t="s">
        <v>299</v>
      </c>
      <c r="B164">
        <v>10</v>
      </c>
      <c r="C164" s="2" t="s">
        <v>25</v>
      </c>
      <c r="D164" s="7" t="s">
        <v>11</v>
      </c>
      <c r="F164" s="3" t="s">
        <v>8</v>
      </c>
    </row>
    <row r="165" spans="1:8">
      <c r="A165" t="s">
        <v>300</v>
      </c>
      <c r="B165">
        <v>10</v>
      </c>
      <c r="C165" s="2" t="s">
        <v>27</v>
      </c>
      <c r="D165" s="7" t="s">
        <v>11</v>
      </c>
      <c r="F165" s="3" t="s">
        <v>8</v>
      </c>
    </row>
    <row r="166" spans="1:8" ht="16">
      <c r="A166" t="s">
        <v>301</v>
      </c>
      <c r="B166">
        <v>10</v>
      </c>
      <c r="C166" s="2" t="s">
        <v>29</v>
      </c>
      <c r="D166" s="7" t="s">
        <v>302</v>
      </c>
      <c r="E166" t="s">
        <v>424</v>
      </c>
      <c r="F166" s="5" t="s">
        <v>166</v>
      </c>
      <c r="G166" s="12" t="s">
        <v>303</v>
      </c>
      <c r="H166" t="s">
        <v>449</v>
      </c>
    </row>
    <row r="167" spans="1:8">
      <c r="A167" t="s">
        <v>304</v>
      </c>
      <c r="B167">
        <v>10</v>
      </c>
      <c r="C167" s="2" t="s">
        <v>31</v>
      </c>
      <c r="D167" s="7" t="s">
        <v>116</v>
      </c>
      <c r="E167" t="s">
        <v>425</v>
      </c>
      <c r="F167" s="5" t="s">
        <v>166</v>
      </c>
      <c r="H167" t="s">
        <v>472</v>
      </c>
    </row>
    <row r="168" spans="1:8" ht="16">
      <c r="A168" t="s">
        <v>305</v>
      </c>
      <c r="B168">
        <v>10</v>
      </c>
      <c r="C168" s="2">
        <v>11</v>
      </c>
      <c r="D168" s="7" t="s">
        <v>116</v>
      </c>
      <c r="E168" t="s">
        <v>425</v>
      </c>
      <c r="F168" s="5" t="s">
        <v>166</v>
      </c>
      <c r="G168" s="12" t="s">
        <v>306</v>
      </c>
      <c r="H168" t="s">
        <v>472</v>
      </c>
    </row>
    <row r="169" spans="1:8" ht="32">
      <c r="A169" t="s">
        <v>307</v>
      </c>
      <c r="B169">
        <v>10</v>
      </c>
      <c r="C169" s="2" t="s">
        <v>235</v>
      </c>
      <c r="D169" s="8" t="s">
        <v>308</v>
      </c>
      <c r="E169" t="s">
        <v>426</v>
      </c>
      <c r="F169" s="5" t="s">
        <v>166</v>
      </c>
      <c r="G169" s="12" t="s">
        <v>309</v>
      </c>
      <c r="H169" t="s">
        <v>449</v>
      </c>
    </row>
    <row r="170" spans="1:8">
      <c r="A170" t="s">
        <v>310</v>
      </c>
      <c r="B170">
        <v>10</v>
      </c>
      <c r="C170" s="2" t="s">
        <v>237</v>
      </c>
      <c r="D170" s="7" t="s">
        <v>116</v>
      </c>
      <c r="F170" s="3" t="s">
        <v>8</v>
      </c>
    </row>
    <row r="171" spans="1:8">
      <c r="A171" t="s">
        <v>311</v>
      </c>
      <c r="B171">
        <v>10</v>
      </c>
      <c r="C171" s="2">
        <v>13</v>
      </c>
      <c r="D171" s="7" t="s">
        <v>116</v>
      </c>
      <c r="F171" s="3" t="s">
        <v>8</v>
      </c>
    </row>
    <row r="172" spans="1:8" ht="16">
      <c r="A172" t="s">
        <v>312</v>
      </c>
      <c r="B172">
        <v>10</v>
      </c>
      <c r="C172" s="2" t="s">
        <v>39</v>
      </c>
      <c r="D172" s="8" t="s">
        <v>313</v>
      </c>
      <c r="E172" t="s">
        <v>427</v>
      </c>
      <c r="F172" s="5" t="s">
        <v>166</v>
      </c>
      <c r="G172" s="12" t="s">
        <v>314</v>
      </c>
      <c r="H172" t="s">
        <v>475</v>
      </c>
    </row>
    <row r="173" spans="1:8" ht="16">
      <c r="A173" t="s">
        <v>315</v>
      </c>
      <c r="B173">
        <v>10</v>
      </c>
      <c r="C173" s="2" t="s">
        <v>41</v>
      </c>
      <c r="D173" s="8" t="s">
        <v>316</v>
      </c>
      <c r="E173" t="s">
        <v>428</v>
      </c>
      <c r="F173" s="5" t="s">
        <v>166</v>
      </c>
      <c r="G173" s="12" t="s">
        <v>317</v>
      </c>
      <c r="H173" t="s">
        <v>475</v>
      </c>
    </row>
    <row r="174" spans="1:8">
      <c r="A174" t="s">
        <v>318</v>
      </c>
      <c r="B174">
        <v>10</v>
      </c>
      <c r="C174" s="2" t="s">
        <v>43</v>
      </c>
      <c r="D174" s="7" t="s">
        <v>116</v>
      </c>
      <c r="F174" s="3" t="s">
        <v>8</v>
      </c>
    </row>
    <row r="175" spans="1:8" ht="16">
      <c r="A175" t="s">
        <v>319</v>
      </c>
      <c r="B175">
        <v>10</v>
      </c>
      <c r="C175" s="2" t="s">
        <v>45</v>
      </c>
      <c r="D175" s="8" t="s">
        <v>320</v>
      </c>
      <c r="E175" t="s">
        <v>429</v>
      </c>
      <c r="F175" s="4" t="s">
        <v>51</v>
      </c>
      <c r="G175" s="12" t="s">
        <v>321</v>
      </c>
    </row>
    <row r="176" spans="1:8">
      <c r="A176" t="s">
        <v>322</v>
      </c>
      <c r="B176">
        <v>10</v>
      </c>
      <c r="C176" s="2" t="s">
        <v>47</v>
      </c>
      <c r="D176" s="7" t="s">
        <v>11</v>
      </c>
      <c r="F176" s="3" t="s">
        <v>8</v>
      </c>
    </row>
    <row r="177" spans="1:8">
      <c r="A177" t="s">
        <v>323</v>
      </c>
      <c r="B177">
        <v>10</v>
      </c>
      <c r="C177" s="2" t="s">
        <v>324</v>
      </c>
      <c r="D177" s="7" t="s">
        <v>11</v>
      </c>
      <c r="F177" s="3" t="s">
        <v>8</v>
      </c>
    </row>
    <row r="178" spans="1:8">
      <c r="A178" t="s">
        <v>473</v>
      </c>
      <c r="B178">
        <v>11</v>
      </c>
      <c r="C178" s="2">
        <v>1</v>
      </c>
      <c r="D178" s="7" t="s">
        <v>11</v>
      </c>
      <c r="F178" s="5" t="s">
        <v>166</v>
      </c>
      <c r="H178" t="s">
        <v>449</v>
      </c>
    </row>
    <row r="179" spans="1:8" ht="32">
      <c r="A179" t="s">
        <v>477</v>
      </c>
      <c r="B179">
        <v>11</v>
      </c>
      <c r="C179" s="2">
        <v>2</v>
      </c>
      <c r="D179" s="7" t="s">
        <v>325</v>
      </c>
      <c r="E179" t="s">
        <v>430</v>
      </c>
      <c r="F179" s="5" t="s">
        <v>166</v>
      </c>
      <c r="G179" s="12" t="s">
        <v>326</v>
      </c>
      <c r="H179" t="s">
        <v>478</v>
      </c>
    </row>
    <row r="180" spans="1:8">
      <c r="A180" t="s">
        <v>327</v>
      </c>
      <c r="B180">
        <v>11</v>
      </c>
      <c r="C180" s="2" t="s">
        <v>130</v>
      </c>
      <c r="D180" s="7" t="s">
        <v>116</v>
      </c>
      <c r="F180" s="3" t="s">
        <v>8</v>
      </c>
    </row>
    <row r="181" spans="1:8">
      <c r="A181" t="s">
        <v>328</v>
      </c>
      <c r="B181">
        <v>11</v>
      </c>
      <c r="C181" s="2" t="s">
        <v>132</v>
      </c>
      <c r="D181" s="7" t="s">
        <v>116</v>
      </c>
      <c r="F181" s="3" t="s">
        <v>8</v>
      </c>
    </row>
    <row r="182" spans="1:8">
      <c r="A182" t="s">
        <v>329</v>
      </c>
      <c r="B182">
        <v>11</v>
      </c>
      <c r="C182" s="2" t="s">
        <v>173</v>
      </c>
      <c r="D182" s="7" t="s">
        <v>116</v>
      </c>
      <c r="F182" s="3" t="s">
        <v>8</v>
      </c>
    </row>
    <row r="183" spans="1:8" ht="32">
      <c r="A183" t="s">
        <v>330</v>
      </c>
      <c r="B183">
        <v>11</v>
      </c>
      <c r="C183" s="2">
        <v>4</v>
      </c>
      <c r="D183" s="7" t="s">
        <v>331</v>
      </c>
      <c r="E183" t="s">
        <v>431</v>
      </c>
      <c r="F183" s="4" t="s">
        <v>51</v>
      </c>
      <c r="G183" s="12" t="s">
        <v>332</v>
      </c>
    </row>
    <row r="184" spans="1:8" ht="64">
      <c r="A184" t="s">
        <v>333</v>
      </c>
      <c r="B184">
        <v>11</v>
      </c>
      <c r="C184" s="2">
        <v>5</v>
      </c>
      <c r="D184" s="7" t="s">
        <v>334</v>
      </c>
      <c r="E184" t="s">
        <v>432</v>
      </c>
      <c r="F184" s="5" t="s">
        <v>166</v>
      </c>
      <c r="G184" s="12" t="s">
        <v>335</v>
      </c>
      <c r="H184" s="12" t="s">
        <v>474</v>
      </c>
    </row>
    <row r="185" spans="1:8" ht="48">
      <c r="A185" t="s">
        <v>336</v>
      </c>
      <c r="B185">
        <v>12</v>
      </c>
      <c r="C185" s="2">
        <v>1</v>
      </c>
      <c r="D185" s="7" t="s">
        <v>337</v>
      </c>
      <c r="E185" t="s">
        <v>433</v>
      </c>
      <c r="F185" s="5" t="s">
        <v>166</v>
      </c>
      <c r="G185" s="12" t="s">
        <v>338</v>
      </c>
      <c r="H185" t="s">
        <v>449</v>
      </c>
    </row>
    <row r="186" spans="1:8" ht="48">
      <c r="A186" t="s">
        <v>339</v>
      </c>
      <c r="B186">
        <v>12</v>
      </c>
      <c r="C186" s="2">
        <v>2</v>
      </c>
      <c r="D186" s="7" t="s">
        <v>33</v>
      </c>
      <c r="E186" t="s">
        <v>434</v>
      </c>
      <c r="F186" s="5" t="s">
        <v>166</v>
      </c>
      <c r="G186" s="12" t="s">
        <v>340</v>
      </c>
      <c r="H186" s="12" t="s">
        <v>476</v>
      </c>
    </row>
    <row r="187" spans="1:8" ht="48">
      <c r="A187" t="s">
        <v>341</v>
      </c>
      <c r="B187">
        <v>12</v>
      </c>
      <c r="C187" s="2">
        <v>3</v>
      </c>
      <c r="D187" s="7" t="s">
        <v>342</v>
      </c>
      <c r="E187" t="s">
        <v>435</v>
      </c>
      <c r="F187" s="4" t="s">
        <v>51</v>
      </c>
      <c r="G187" s="12" t="s">
        <v>343</v>
      </c>
    </row>
    <row r="188" spans="1:8" ht="32">
      <c r="A188" t="s">
        <v>344</v>
      </c>
      <c r="B188">
        <v>12</v>
      </c>
      <c r="C188" s="2">
        <v>4</v>
      </c>
      <c r="D188" s="7" t="s">
        <v>67</v>
      </c>
      <c r="F188" s="3" t="s">
        <v>8</v>
      </c>
      <c r="G188" s="12" t="s">
        <v>345</v>
      </c>
    </row>
    <row r="189" spans="1:8" ht="16">
      <c r="A189" t="s">
        <v>346</v>
      </c>
      <c r="B189">
        <v>12</v>
      </c>
      <c r="C189" s="2">
        <v>5</v>
      </c>
      <c r="D189" s="7" t="s">
        <v>105</v>
      </c>
      <c r="F189" s="3" t="s">
        <v>8</v>
      </c>
      <c r="G189" s="12" t="s">
        <v>347</v>
      </c>
    </row>
    <row r="190" spans="1:8" ht="32">
      <c r="A190" t="s">
        <v>348</v>
      </c>
      <c r="B190">
        <v>12</v>
      </c>
      <c r="C190" s="2" t="s">
        <v>19</v>
      </c>
      <c r="D190" s="7" t="s">
        <v>349</v>
      </c>
      <c r="E190" t="s">
        <v>436</v>
      </c>
      <c r="F190" s="5" t="s">
        <v>166</v>
      </c>
      <c r="G190" s="12" t="s">
        <v>350</v>
      </c>
      <c r="H190" t="s">
        <v>479</v>
      </c>
    </row>
    <row r="191" spans="1:8" ht="32">
      <c r="A191" t="s">
        <v>351</v>
      </c>
      <c r="B191">
        <v>12</v>
      </c>
      <c r="C191" s="2" t="s">
        <v>21</v>
      </c>
      <c r="D191" s="7" t="s">
        <v>33</v>
      </c>
      <c r="E191" t="s">
        <v>405</v>
      </c>
      <c r="F191" s="5" t="s">
        <v>166</v>
      </c>
      <c r="G191" s="12" t="s">
        <v>352</v>
      </c>
    </row>
    <row r="192" spans="1:8" ht="32">
      <c r="A192" t="s">
        <v>353</v>
      </c>
      <c r="B192">
        <v>13</v>
      </c>
      <c r="C192" s="2" t="s">
        <v>49</v>
      </c>
      <c r="D192" s="7" t="s">
        <v>354</v>
      </c>
      <c r="F192" s="3" t="s">
        <v>8</v>
      </c>
      <c r="G192" s="12" t="s">
        <v>355</v>
      </c>
    </row>
    <row r="193" spans="1:8" ht="32">
      <c r="A193" t="s">
        <v>356</v>
      </c>
      <c r="B193">
        <v>13</v>
      </c>
      <c r="C193" s="2" t="s">
        <v>54</v>
      </c>
      <c r="D193" s="8" t="s">
        <v>357</v>
      </c>
      <c r="E193" t="s">
        <v>437</v>
      </c>
      <c r="F193" s="4" t="s">
        <v>51</v>
      </c>
      <c r="G193" s="12" t="s">
        <v>358</v>
      </c>
      <c r="H193" t="s">
        <v>483</v>
      </c>
    </row>
    <row r="194" spans="1:8">
      <c r="A194" t="s">
        <v>359</v>
      </c>
      <c r="B194">
        <v>13</v>
      </c>
      <c r="C194" s="2">
        <v>2</v>
      </c>
      <c r="D194" s="7" t="s">
        <v>11</v>
      </c>
      <c r="F194" s="3" t="s">
        <v>8</v>
      </c>
    </row>
    <row r="195" spans="1:8" ht="32">
      <c r="A195" t="s">
        <v>360</v>
      </c>
      <c r="B195">
        <v>13</v>
      </c>
      <c r="C195" s="2">
        <v>3</v>
      </c>
      <c r="D195" s="7" t="s">
        <v>361</v>
      </c>
      <c r="E195" t="s">
        <v>438</v>
      </c>
      <c r="F195" s="5" t="s">
        <v>166</v>
      </c>
      <c r="G195" s="12" t="s">
        <v>362</v>
      </c>
      <c r="H195" t="s">
        <v>484</v>
      </c>
    </row>
    <row r="196" spans="1:8">
      <c r="A196" t="s">
        <v>363</v>
      </c>
      <c r="B196">
        <v>13</v>
      </c>
      <c r="C196" s="2" t="s">
        <v>175</v>
      </c>
      <c r="D196" s="7" t="s">
        <v>11</v>
      </c>
      <c r="F196" s="3" t="s">
        <v>8</v>
      </c>
    </row>
    <row r="197" spans="1:8">
      <c r="A197" t="s">
        <v>364</v>
      </c>
      <c r="B197">
        <v>13</v>
      </c>
      <c r="C197" s="2" t="s">
        <v>178</v>
      </c>
      <c r="D197" s="7" t="s">
        <v>11</v>
      </c>
      <c r="F197" s="3" t="s">
        <v>8</v>
      </c>
    </row>
    <row r="198" spans="1:8">
      <c r="A198" t="s">
        <v>365</v>
      </c>
      <c r="B198">
        <v>13</v>
      </c>
      <c r="C198" s="2" t="s">
        <v>366</v>
      </c>
      <c r="D198" s="7" t="s">
        <v>11</v>
      </c>
      <c r="F198" s="3" t="s">
        <v>8</v>
      </c>
    </row>
    <row r="199" spans="1:8">
      <c r="A199" t="s">
        <v>367</v>
      </c>
      <c r="B199">
        <v>13</v>
      </c>
      <c r="C199" s="2" t="s">
        <v>368</v>
      </c>
      <c r="D199" s="7" t="s">
        <v>11</v>
      </c>
      <c r="F199" s="3" t="s">
        <v>8</v>
      </c>
    </row>
    <row r="200" spans="1:8">
      <c r="A200" t="s">
        <v>369</v>
      </c>
      <c r="B200">
        <v>13</v>
      </c>
      <c r="C200" s="2">
        <v>5</v>
      </c>
      <c r="D200" s="7" t="s">
        <v>11</v>
      </c>
      <c r="F200" s="3" t="s">
        <v>8</v>
      </c>
    </row>
    <row r="201" spans="1:8" ht="48">
      <c r="A201" t="s">
        <v>370</v>
      </c>
      <c r="B201">
        <v>13</v>
      </c>
      <c r="C201" s="2">
        <v>6</v>
      </c>
      <c r="D201" s="7" t="s">
        <v>371</v>
      </c>
      <c r="E201" t="s">
        <v>439</v>
      </c>
      <c r="F201" s="5" t="s">
        <v>166</v>
      </c>
      <c r="G201" s="12" t="s">
        <v>372</v>
      </c>
    </row>
    <row r="202" spans="1:8" ht="16">
      <c r="A202" t="s">
        <v>373</v>
      </c>
      <c r="B202">
        <v>13</v>
      </c>
      <c r="C202" s="2" t="s">
        <v>143</v>
      </c>
      <c r="D202" s="7" t="s">
        <v>374</v>
      </c>
      <c r="F202" s="3" t="s">
        <v>8</v>
      </c>
      <c r="G202" s="12" t="s">
        <v>375</v>
      </c>
    </row>
    <row r="203" spans="1:8" ht="32">
      <c r="A203" t="s">
        <v>376</v>
      </c>
      <c r="B203">
        <v>13</v>
      </c>
      <c r="C203" s="2" t="s">
        <v>145</v>
      </c>
      <c r="D203" s="7" t="s">
        <v>377</v>
      </c>
      <c r="F203" s="3" t="s">
        <v>8</v>
      </c>
      <c r="G203" s="12" t="s">
        <v>378</v>
      </c>
    </row>
    <row r="204" spans="1:8">
      <c r="A204" t="s">
        <v>379</v>
      </c>
      <c r="B204">
        <v>13</v>
      </c>
      <c r="C204" s="2" t="s">
        <v>110</v>
      </c>
      <c r="D204" s="7" t="s">
        <v>116</v>
      </c>
      <c r="F204" s="3" t="s">
        <v>8</v>
      </c>
    </row>
    <row r="205" spans="1:8">
      <c r="A205" t="s">
        <v>380</v>
      </c>
      <c r="B205">
        <v>13</v>
      </c>
      <c r="C205" s="2" t="s">
        <v>112</v>
      </c>
      <c r="D205" s="7" t="s">
        <v>116</v>
      </c>
      <c r="F205" s="3" t="s">
        <v>8</v>
      </c>
    </row>
    <row r="206" spans="1:8" ht="32">
      <c r="A206" t="s">
        <v>381</v>
      </c>
      <c r="B206">
        <v>13</v>
      </c>
      <c r="C206" s="2">
        <v>9</v>
      </c>
      <c r="D206" s="7" t="s">
        <v>105</v>
      </c>
      <c r="F206" s="3" t="s">
        <v>8</v>
      </c>
      <c r="G206" s="12" t="s">
        <v>382</v>
      </c>
    </row>
    <row r="207" spans="1:8" ht="48">
      <c r="A207" t="s">
        <v>383</v>
      </c>
      <c r="B207">
        <v>13</v>
      </c>
      <c r="C207" s="2">
        <v>10</v>
      </c>
      <c r="D207" s="7" t="s">
        <v>384</v>
      </c>
      <c r="E207" t="s">
        <v>440</v>
      </c>
      <c r="F207" s="5" t="s">
        <v>166</v>
      </c>
      <c r="G207" s="12" t="s">
        <v>385</v>
      </c>
      <c r="H207" s="12" t="s">
        <v>485</v>
      </c>
    </row>
  </sheetData>
  <hyperlinks>
    <hyperlink ref="D193" r:id="rId1" xr:uid="{D1280205-A053-4177-A945-CE456DAE3550}"/>
    <hyperlink ref="D169" r:id="rId2" xr:uid="{8FC7ACDC-595A-B943-A1C1-72016C4E6E8B}"/>
    <hyperlink ref="D172" r:id="rId3" xr:uid="{188E137E-AE94-F340-8E3F-D7969F494BAF}"/>
    <hyperlink ref="D175" r:id="rId4" xr:uid="{CCBE1FB1-6502-E144-9FB5-F88BE4CBE1FA}"/>
    <hyperlink ref="D173" r:id="rId5" xr:uid="{F3514D0F-7586-0A40-ABBF-08D50AFD342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5" sqref="B5"/>
    </sheetView>
  </sheetViews>
  <sheetFormatPr baseColWidth="10" defaultColWidth="8.83203125" defaultRowHeight="15"/>
  <cols>
    <col min="1" max="1" width="12" customWidth="1"/>
    <col min="2" max="2" width="10" customWidth="1"/>
  </cols>
  <sheetData>
    <row r="1" spans="1:2">
      <c r="A1" s="1" t="s">
        <v>386</v>
      </c>
      <c r="B1" s="1" t="s">
        <v>387</v>
      </c>
    </row>
    <row r="2" spans="1:2">
      <c r="A2" s="3" t="s">
        <v>8</v>
      </c>
      <c r="B2">
        <f>COUNTIF('Image Submission'!F:F, "Green")</f>
        <v>138</v>
      </c>
    </row>
    <row r="3" spans="1:2">
      <c r="A3" s="5" t="s">
        <v>166</v>
      </c>
      <c r="B3">
        <f>COUNTIF('Image Submission'!F:F, "Amber")</f>
        <v>58</v>
      </c>
    </row>
    <row r="4" spans="1:2">
      <c r="A4" s="4" t="s">
        <v>51</v>
      </c>
      <c r="B4">
        <f>COUNTIF('Image Submission'!F:F, "Red")</f>
        <v>10</v>
      </c>
    </row>
    <row r="5" spans="1:2">
      <c r="A5" s="1" t="s">
        <v>388</v>
      </c>
      <c r="B5" s="1">
        <v>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1E257-B48F-B143-86C5-1C579A79D7A9}">
  <dimension ref="A1:D5"/>
  <sheetViews>
    <sheetView workbookViewId="0">
      <selection activeCell="D2" sqref="D2"/>
    </sheetView>
  </sheetViews>
  <sheetFormatPr baseColWidth="10" defaultRowHeight="15"/>
  <cols>
    <col min="1" max="1" width="26.83203125" customWidth="1"/>
    <col min="2" max="2" width="10.83203125" style="10"/>
    <col min="4" max="4" width="18" bestFit="1" customWidth="1"/>
  </cols>
  <sheetData>
    <row r="1" spans="1:4">
      <c r="A1" t="s">
        <v>444</v>
      </c>
      <c r="B1" s="10" t="s">
        <v>447</v>
      </c>
      <c r="C1" t="s">
        <v>448</v>
      </c>
      <c r="D1" t="s">
        <v>482</v>
      </c>
    </row>
    <row r="2" spans="1:4">
      <c r="A2" t="s">
        <v>445</v>
      </c>
      <c r="B2" s="10">
        <v>20</v>
      </c>
      <c r="D2" t="s">
        <v>480</v>
      </c>
    </row>
    <row r="3" spans="1:4">
      <c r="A3" t="s">
        <v>446</v>
      </c>
      <c r="C3" s="9">
        <v>39</v>
      </c>
    </row>
    <row r="4" spans="1:4">
      <c r="A4" t="s">
        <v>231</v>
      </c>
    </row>
    <row r="5" spans="1:4">
      <c r="A5" t="s">
        <v>481</v>
      </c>
      <c r="D5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Image Submission</vt:lpstr>
      <vt:lpstr>Summary</vt:lpstr>
      <vt:lpstr>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Dishmop Campbell</cp:lastModifiedBy>
  <dcterms:created xsi:type="dcterms:W3CDTF">2026-01-26T09:34:52Z</dcterms:created>
  <dcterms:modified xsi:type="dcterms:W3CDTF">2026-05-19T06:51:03Z</dcterms:modified>
</cp:coreProperties>
</file>